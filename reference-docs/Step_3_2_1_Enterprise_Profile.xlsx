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onitc-my.sharepoint.us/personal/eugene_powell_kentro_us/Documents/Projects/DOC/Updated Methodolgy/3. Post Interview Steps/"/>
    </mc:Choice>
  </mc:AlternateContent>
  <xr:revisionPtr revIDLastSave="0" documentId="8_{E53292C3-1A1D-4E52-85E0-034906401219}" xr6:coauthVersionLast="47" xr6:coauthVersionMax="47" xr10:uidLastSave="{00000000-0000-0000-0000-000000000000}"/>
  <bookViews>
    <workbookView xWindow="-28920" yWindow="-120" windowWidth="29040" windowHeight="15720" tabRatio="500" activeTab="1" xr2:uid="{00000000-000D-0000-FFFF-FFFF00000000}"/>
  </bookViews>
  <sheets>
    <sheet name="Instructions" sheetId="4" r:id="rId1"/>
    <sheet name="Enterprise Profile" sheetId="1" r:id="rId2"/>
    <sheet name="Threshold Reference" sheetId="2" r:id="rId3"/>
    <sheet name="Roll-Up Decision Rules" sheetId="3" r:id="rId4"/>
  </sheets>
  <definedNames>
    <definedName name="_xlnm._FilterDatabase" localSheetId="1" hidden="1">'Enterprise Profile'!$A$3:$P$139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39" i="1" l="1"/>
  <c r="L139" i="1" s="1"/>
  <c r="N139" i="1" s="1"/>
  <c r="K138" i="1"/>
  <c r="L138" i="1" s="1"/>
  <c r="N138" i="1" s="1"/>
  <c r="K136" i="1"/>
  <c r="L136" i="1" s="1"/>
  <c r="N136" i="1" s="1"/>
  <c r="K135" i="1"/>
  <c r="L135" i="1" s="1"/>
  <c r="N135" i="1" s="1"/>
  <c r="K134" i="1"/>
  <c r="L134" i="1" s="1"/>
  <c r="N134" i="1" s="1"/>
  <c r="N133" i="1"/>
  <c r="L133" i="1"/>
  <c r="K133" i="1"/>
  <c r="K132" i="1"/>
  <c r="L132" i="1" s="1"/>
  <c r="N132" i="1" s="1"/>
  <c r="K131" i="1"/>
  <c r="L131" i="1" s="1"/>
  <c r="N131" i="1" s="1"/>
  <c r="K128" i="1"/>
  <c r="L128" i="1" s="1"/>
  <c r="N128" i="1" s="1"/>
  <c r="L127" i="1"/>
  <c r="N127" i="1" s="1"/>
  <c r="K127" i="1"/>
  <c r="L125" i="1"/>
  <c r="N125" i="1" s="1"/>
  <c r="K125" i="1"/>
  <c r="K124" i="1"/>
  <c r="L124" i="1" s="1"/>
  <c r="N124" i="1" s="1"/>
  <c r="K122" i="1"/>
  <c r="L122" i="1" s="1"/>
  <c r="N122" i="1" s="1"/>
  <c r="L121" i="1"/>
  <c r="N121" i="1" s="1"/>
  <c r="K121" i="1"/>
  <c r="K120" i="1"/>
  <c r="L120" i="1" s="1"/>
  <c r="N120" i="1" s="1"/>
  <c r="K119" i="1"/>
  <c r="L119" i="1" s="1"/>
  <c r="N119" i="1" s="1"/>
  <c r="K117" i="1"/>
  <c r="L117" i="1" s="1"/>
  <c r="N117" i="1" s="1"/>
  <c r="K116" i="1"/>
  <c r="L116" i="1" s="1"/>
  <c r="N116" i="1" s="1"/>
  <c r="K115" i="1"/>
  <c r="L115" i="1" s="1"/>
  <c r="N115" i="1" s="1"/>
  <c r="K114" i="1"/>
  <c r="L114" i="1" s="1"/>
  <c r="N114" i="1" s="1"/>
  <c r="K113" i="1"/>
  <c r="L113" i="1" s="1"/>
  <c r="N113" i="1" s="1"/>
  <c r="K110" i="1"/>
  <c r="L110" i="1" s="1"/>
  <c r="N110" i="1" s="1"/>
  <c r="K109" i="1"/>
  <c r="L109" i="1" s="1"/>
  <c r="N109" i="1" s="1"/>
  <c r="K108" i="1"/>
  <c r="L108" i="1" s="1"/>
  <c r="N108" i="1" s="1"/>
  <c r="K107" i="1"/>
  <c r="L107" i="1" s="1"/>
  <c r="N107" i="1" s="1"/>
  <c r="L106" i="1"/>
  <c r="N106" i="1" s="1"/>
  <c r="K106" i="1"/>
  <c r="K105" i="1"/>
  <c r="L105" i="1" s="1"/>
  <c r="N105" i="1" s="1"/>
  <c r="K104" i="1"/>
  <c r="L104" i="1" s="1"/>
  <c r="N104" i="1" s="1"/>
  <c r="K103" i="1"/>
  <c r="L103" i="1" s="1"/>
  <c r="N103" i="1" s="1"/>
  <c r="L101" i="1"/>
  <c r="N101" i="1" s="1"/>
  <c r="K101" i="1"/>
  <c r="K100" i="1"/>
  <c r="L100" i="1" s="1"/>
  <c r="N100" i="1" s="1"/>
  <c r="K99" i="1"/>
  <c r="L99" i="1" s="1"/>
  <c r="N99" i="1" s="1"/>
  <c r="K98" i="1"/>
  <c r="L98" i="1" s="1"/>
  <c r="N98" i="1" s="1"/>
  <c r="K97" i="1"/>
  <c r="L97" i="1" s="1"/>
  <c r="N97" i="1" s="1"/>
  <c r="K94" i="1"/>
  <c r="L94" i="1" s="1"/>
  <c r="N94" i="1" s="1"/>
  <c r="L93" i="1"/>
  <c r="N93" i="1" s="1"/>
  <c r="K93" i="1"/>
  <c r="K92" i="1"/>
  <c r="L92" i="1" s="1"/>
  <c r="N92" i="1" s="1"/>
  <c r="K91" i="1"/>
  <c r="L91" i="1" s="1"/>
  <c r="N91" i="1" s="1"/>
  <c r="K89" i="1"/>
  <c r="L89" i="1" s="1"/>
  <c r="N89" i="1" s="1"/>
  <c r="K88" i="1"/>
  <c r="L88" i="1" s="1"/>
  <c r="N88" i="1" s="1"/>
  <c r="K87" i="1"/>
  <c r="L87" i="1" s="1"/>
  <c r="N87" i="1" s="1"/>
  <c r="K86" i="1"/>
  <c r="L86" i="1" s="1"/>
  <c r="N86" i="1" s="1"/>
  <c r="K85" i="1"/>
  <c r="L85" i="1" s="1"/>
  <c r="N85" i="1" s="1"/>
  <c r="L84" i="1"/>
  <c r="N84" i="1" s="1"/>
  <c r="K84" i="1"/>
  <c r="K82" i="1"/>
  <c r="L82" i="1" s="1"/>
  <c r="N82" i="1" s="1"/>
  <c r="K81" i="1"/>
  <c r="L81" i="1" s="1"/>
  <c r="N81" i="1" s="1"/>
  <c r="K80" i="1"/>
  <c r="L80" i="1" s="1"/>
  <c r="N80" i="1" s="1"/>
  <c r="K79" i="1"/>
  <c r="L79" i="1" s="1"/>
  <c r="N79" i="1" s="1"/>
  <c r="K77" i="1"/>
  <c r="L77" i="1" s="1"/>
  <c r="N77" i="1" s="1"/>
  <c r="K76" i="1"/>
  <c r="L76" i="1" s="1"/>
  <c r="N76" i="1" s="1"/>
  <c r="L74" i="1"/>
  <c r="N74" i="1" s="1"/>
  <c r="K74" i="1"/>
  <c r="K73" i="1"/>
  <c r="L73" i="1" s="1"/>
  <c r="N73" i="1" s="1"/>
  <c r="K72" i="1"/>
  <c r="L72" i="1" s="1"/>
  <c r="N72" i="1" s="1"/>
  <c r="K71" i="1"/>
  <c r="L71" i="1" s="1"/>
  <c r="N71" i="1" s="1"/>
  <c r="K70" i="1"/>
  <c r="L70" i="1" s="1"/>
  <c r="N70" i="1" s="1"/>
  <c r="K69" i="1"/>
  <c r="L69" i="1" s="1"/>
  <c r="N69" i="1" s="1"/>
  <c r="K66" i="1"/>
  <c r="L66" i="1" s="1"/>
  <c r="N66" i="1" s="1"/>
  <c r="K65" i="1"/>
  <c r="L65" i="1" s="1"/>
  <c r="N65" i="1" s="1"/>
  <c r="L64" i="1"/>
  <c r="N64" i="1" s="1"/>
  <c r="K64" i="1"/>
  <c r="L63" i="1"/>
  <c r="N63" i="1" s="1"/>
  <c r="K63" i="1"/>
  <c r="K61" i="1"/>
  <c r="L61" i="1" s="1"/>
  <c r="N61" i="1" s="1"/>
  <c r="K60" i="1"/>
  <c r="L60" i="1" s="1"/>
  <c r="N60" i="1" s="1"/>
  <c r="K59" i="1"/>
  <c r="L59" i="1" s="1"/>
  <c r="N59" i="1" s="1"/>
  <c r="K58" i="1"/>
  <c r="L58" i="1" s="1"/>
  <c r="N58" i="1" s="1"/>
  <c r="K57" i="1"/>
  <c r="L57" i="1" s="1"/>
  <c r="N57" i="1" s="1"/>
  <c r="L56" i="1"/>
  <c r="N56" i="1" s="1"/>
  <c r="K56" i="1"/>
  <c r="K55" i="1"/>
  <c r="L55" i="1" s="1"/>
  <c r="N55" i="1" s="1"/>
  <c r="K54" i="1"/>
  <c r="L54" i="1" s="1"/>
  <c r="N54" i="1" s="1"/>
  <c r="K53" i="1"/>
  <c r="L53" i="1" s="1"/>
  <c r="N53" i="1" s="1"/>
  <c r="N52" i="1"/>
  <c r="L52" i="1"/>
  <c r="K52" i="1"/>
  <c r="K50" i="1"/>
  <c r="L50" i="1" s="1"/>
  <c r="N50" i="1" s="1"/>
  <c r="K49" i="1"/>
  <c r="L49" i="1" s="1"/>
  <c r="N49" i="1" s="1"/>
  <c r="K48" i="1"/>
  <c r="L48" i="1" s="1"/>
  <c r="N48" i="1" s="1"/>
  <c r="L47" i="1"/>
  <c r="N47" i="1" s="1"/>
  <c r="K47" i="1"/>
  <c r="L46" i="1"/>
  <c r="N46" i="1" s="1"/>
  <c r="K46" i="1"/>
  <c r="K45" i="1"/>
  <c r="L45" i="1" s="1"/>
  <c r="N45" i="1" s="1"/>
  <c r="K44" i="1"/>
  <c r="L44" i="1" s="1"/>
  <c r="N44" i="1" s="1"/>
  <c r="L41" i="1"/>
  <c r="N41" i="1" s="1"/>
  <c r="K41" i="1"/>
  <c r="K40" i="1"/>
  <c r="L40" i="1" s="1"/>
  <c r="N40" i="1" s="1"/>
  <c r="K39" i="1"/>
  <c r="L39" i="1" s="1"/>
  <c r="N39" i="1" s="1"/>
  <c r="K38" i="1"/>
  <c r="L38" i="1" s="1"/>
  <c r="N38" i="1" s="1"/>
  <c r="K37" i="1"/>
  <c r="L37" i="1" s="1"/>
  <c r="N37" i="1" s="1"/>
  <c r="K36" i="1"/>
  <c r="L36" i="1" s="1"/>
  <c r="N36" i="1" s="1"/>
  <c r="K35" i="1"/>
  <c r="L35" i="1" s="1"/>
  <c r="N35" i="1" s="1"/>
  <c r="K34" i="1"/>
  <c r="L34" i="1" s="1"/>
  <c r="N34" i="1" s="1"/>
  <c r="K33" i="1"/>
  <c r="L33" i="1" s="1"/>
  <c r="N33" i="1" s="1"/>
  <c r="K32" i="1"/>
  <c r="L32" i="1" s="1"/>
  <c r="N32" i="1" s="1"/>
  <c r="K30" i="1"/>
  <c r="L30" i="1" s="1"/>
  <c r="N30" i="1" s="1"/>
  <c r="K29" i="1"/>
  <c r="L29" i="1" s="1"/>
  <c r="N29" i="1" s="1"/>
  <c r="L28" i="1"/>
  <c r="N28" i="1" s="1"/>
  <c r="K28" i="1"/>
  <c r="K26" i="1"/>
  <c r="L26" i="1" s="1"/>
  <c r="N26" i="1" s="1"/>
  <c r="K25" i="1"/>
  <c r="L25" i="1" s="1"/>
  <c r="N25" i="1" s="1"/>
  <c r="K23" i="1"/>
  <c r="L23" i="1" s="1"/>
  <c r="N23" i="1" s="1"/>
  <c r="L22" i="1"/>
  <c r="N22" i="1" s="1"/>
  <c r="K22" i="1"/>
  <c r="K21" i="1"/>
  <c r="L21" i="1" s="1"/>
  <c r="N21" i="1" s="1"/>
  <c r="K20" i="1"/>
  <c r="L20" i="1" s="1"/>
  <c r="N20" i="1" s="1"/>
  <c r="K18" i="1"/>
  <c r="L18" i="1" s="1"/>
  <c r="N18" i="1" s="1"/>
  <c r="K17" i="1"/>
  <c r="L17" i="1" s="1"/>
  <c r="N17" i="1" s="1"/>
  <c r="K16" i="1"/>
  <c r="L16" i="1" s="1"/>
  <c r="N16" i="1" s="1"/>
  <c r="K15" i="1"/>
  <c r="L15" i="1" s="1"/>
  <c r="N15" i="1" s="1"/>
  <c r="K14" i="1"/>
  <c r="L14" i="1" s="1"/>
  <c r="N14" i="1" s="1"/>
  <c r="K13" i="1"/>
  <c r="L13" i="1" s="1"/>
  <c r="N13" i="1" s="1"/>
  <c r="K12" i="1"/>
  <c r="L12" i="1" s="1"/>
  <c r="N12" i="1" s="1"/>
  <c r="K10" i="1"/>
  <c r="L10" i="1" s="1"/>
  <c r="N10" i="1" s="1"/>
  <c r="K9" i="1"/>
  <c r="L9" i="1" s="1"/>
  <c r="N9" i="1" s="1"/>
  <c r="K8" i="1"/>
  <c r="L8" i="1" s="1"/>
  <c r="N8" i="1" s="1"/>
  <c r="K7" i="1"/>
  <c r="L7" i="1" s="1"/>
  <c r="N7" i="1" s="1"/>
  <c r="L6" i="1"/>
  <c r="N6" i="1" s="1"/>
  <c r="K6" i="1"/>
</calcChain>
</file>

<file path=xl/sharedStrings.xml><?xml version="1.0" encoding="utf-8"?>
<sst xmlns="http://schemas.openxmlformats.org/spreadsheetml/2006/main" count="531" uniqueCount="418">
  <si>
    <t>DOC OCIO — CSF 2.0 Organizational Profile: ENTERPRISE (Office of the Secretary)</t>
  </si>
  <si>
    <t>IDENTIFICATION</t>
  </si>
  <si>
    <t>SCOPE</t>
  </si>
  <si>
    <t>FINDINGS</t>
  </si>
  <si>
    <t>5-DIMENSION SCORING</t>
  </si>
  <si>
    <t>RESULT</t>
  </si>
  <si>
    <t>TARGET &amp; GAP</t>
  </si>
  <si>
    <t>DOCUMENTATION</t>
  </si>
  <si>
    <t>ID</t>
  </si>
  <si>
    <t>Description</t>
  </si>
  <si>
    <t>In Scope?
(Yes/No)</t>
  </si>
  <si>
    <t>What We Found
(Enterprise Narrative)</t>
  </si>
  <si>
    <t>Evidence /
Artifacts</t>
  </si>
  <si>
    <t>Governance
(0-2)</t>
  </si>
  <si>
    <t>Policy &amp;
Process
(0-2)</t>
  </si>
  <si>
    <t>Implementation
(0-2)</t>
  </si>
  <si>
    <t>Monitoring &amp;
Measurement
(0-2)</t>
  </si>
  <si>
    <t>Continuous
Improvement
(0-2)</t>
  </si>
  <si>
    <t>Total
(0-10)</t>
  </si>
  <si>
    <t>Current
Maturity
Level</t>
  </si>
  <si>
    <t>Target
Maturity
Level</t>
  </si>
  <si>
    <t>Gap?</t>
  </si>
  <si>
    <t>Tier Driver /
Roll-Up Rule</t>
  </si>
  <si>
    <t>Notes</t>
  </si>
  <si>
    <t>GV</t>
  </si>
  <si>
    <t>The organization's cybersecurity risk management strategy, expectations, and policy are established, communicated, and monitored</t>
  </si>
  <si>
    <t>GV.OC</t>
  </si>
  <si>
    <t>The circumstances - mission, stakeholder expectations, dependencies, and legal, regulatory, and contractual requirements - surrounding the organization's cybersecurity risk management decisions are understood</t>
  </si>
  <si>
    <t>GV.OC-01</t>
  </si>
  <si>
    <t>The organizational mission is understood and informs cybersecurity risk management</t>
  </si>
  <si>
    <t>Yes</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</si>
  <si>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</si>
  <si>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</si>
  <si>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</si>
  <si>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</si>
  <si>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</si>
  <si>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Critical objectives, capabilities, and services that stakeholders depend on or expect from the organization are understood and communicated</t>
  </si>
  <si>
    <t>GV.OC-05</t>
  </si>
  <si>
    <t>Outcomes, capabilities, and services that the organization depends on are understood and communicated</t>
  </si>
  <si>
    <t>GV.RM</t>
  </si>
  <si>
    <t>The organization's priorities, constraints, risk tolerance and appetite statements, and assumptions are established, communicated, and used to support operational risk decisions</t>
  </si>
  <si>
    <t>GV.RM-01</t>
  </si>
  <si>
    <t>Risk management objectives are established and agreed to by organizational stakeholders</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</si>
  <si>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</si>
  <si>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</si>
  <si>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</si>
  <si>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</si>
  <si>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</si>
  <si>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</si>
  <si>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</si>
  <si>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</si>
  <si>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</si>
  <si>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</si>
  <si>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</si>
  <si>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</si>
  <si>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GV.RR</t>
  </si>
  <si>
    <t>Cybersecurity roles, responsibilities, and authorities to foster accountability, performance assessment, and continuous improvement are established and communicated</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</si>
  <si>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</si>
  <si>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</si>
  <si>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</si>
  <si>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</si>
  <si>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</si>
  <si>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</si>
  <si>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</si>
  <si>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</si>
  <si>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GV.PO</t>
  </si>
  <si>
    <t>Organizational cybersecurity policy is established, communicated, and enforced</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</si>
  <si>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</si>
  <si>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</si>
  <si>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</si>
  <si>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</si>
  <si>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GV.OV</t>
  </si>
  <si>
    <t>Results of organization-wide cybersecurity risk management activities and performance are used to inform, improve, and adjust the risk management strategy</t>
  </si>
  <si>
    <t>GV.OV-01</t>
  </si>
  <si>
    <t>Cybersecurity risk management strategy outcomes are reviewed to inform and adjust strategy and direction</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</si>
  <si>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</si>
  <si>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</si>
  <si>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</si>
  <si>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</si>
  <si>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GV.SC</t>
  </si>
  <si>
    <t>Cyber supply chain risk management processes are identified, established, managed, monitored, and improved by organizational stakeholders</t>
  </si>
  <si>
    <t>GV.SC-01</t>
  </si>
  <si>
    <t>A cybersecurity supply chain risk management program, strategy, objectives, policies, and processes are established and agreed to by organizational stakeholders</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</si>
  <si>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</si>
  <si>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</si>
  <si>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</si>
  <si>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</si>
  <si>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</si>
  <si>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</si>
  <si>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</si>
  <si>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</si>
  <si>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GV.SC-06</t>
  </si>
  <si>
    <t>Planning and due diligence are performed to reduce risks before entering into formal supplier or other third-party relationships</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</si>
  <si>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</si>
  <si>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</si>
  <si>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</si>
  <si>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</si>
  <si>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</si>
  <si>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</si>
  <si>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</si>
  <si>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</si>
  <si>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The organization's current cybersecurity risks are understood</t>
  </si>
  <si>
    <t>ID.AM</t>
  </si>
  <si>
    <t>Assets (e.g., data, hardware, software, systems, facilities, services, people) that enable the organization to achieve business purposes are identified and managed consistent with their relative importance to organizational objectives and the organization's risk strategy</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</si>
  <si>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</si>
  <si>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</si>
  <si>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</si>
  <si>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</si>
  <si>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</si>
  <si>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</si>
  <si>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</si>
  <si>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</si>
  <si>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</si>
  <si>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</si>
  <si>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</si>
  <si>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</si>
  <si>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</si>
  <si>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</si>
  <si>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ID.RA</t>
  </si>
  <si>
    <t>The cybersecurity risk to the organization, assets, and individuals is understood by the organization</t>
  </si>
  <si>
    <t>ID.RA-01</t>
  </si>
  <si>
    <t>Vulnerabilities in assets are identified, validated, and recorded</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</si>
  <si>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</si>
  <si>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</si>
  <si>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</si>
  <si>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</si>
  <si>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</si>
  <si>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</si>
  <si>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</si>
  <si>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</si>
  <si>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</si>
  <si>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</si>
  <si>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</si>
  <si>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</si>
  <si>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</si>
  <si>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</si>
  <si>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</si>
  <si>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</si>
  <si>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</si>
  <si>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</si>
  <si>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ID.IM</t>
  </si>
  <si>
    <t>Improvements to organizational cybersecurity risk management processes, procedures and activities are identified across all CSF Functions</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</si>
  <si>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</si>
  <si>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</si>
  <si>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</si>
  <si>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</si>
  <si>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</si>
  <si>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</si>
  <si>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</si>
  <si>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</si>
  <si>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t>
  </si>
  <si>
    <t>Safeguards to manage the organization's cybersecurity risks are used</t>
  </si>
  <si>
    <t>PR.AA</t>
  </si>
  <si>
    <t>Access to physical and logical assets is limited to authorized users, services, and hardware and  managed commensurate with the assessed risk of unauthorized access</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</si>
  <si>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</si>
  <si>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</si>
  <si>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</si>
  <si>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</si>
  <si>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</si>
  <si>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</si>
  <si>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</si>
  <si>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</si>
  <si>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</si>
  <si>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</si>
  <si>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</si>
  <si>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</si>
  <si>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PR.AT</t>
  </si>
  <si>
    <t>The organization's personnel are provided with cybersecurity awareness and training so that they can perform their cybersecurity-related tasks</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</si>
  <si>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</si>
  <si>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</si>
  <si>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</si>
  <si>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</si>
  <si>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PR.DS</t>
  </si>
  <si>
    <t>Data are managed consistent with the organization's risk strategy to protect the confidentiality, integrity, and availability of information</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</si>
  <si>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</si>
  <si>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</si>
  <si>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</si>
  <si>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</si>
  <si>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</si>
  <si>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</si>
  <si>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</si>
  <si>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</si>
  <si>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PR.PS</t>
  </si>
  <si>
    <t>The hardware, software (e.g., firmware, operating systems, applications), and services of physical and virtual platforms are managed consistent with the organization's risk strategy to protect their confidentiality, integrity, and availability</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</si>
  <si>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</si>
  <si>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</si>
  <si>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</si>
  <si>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</si>
  <si>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</si>
  <si>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</si>
  <si>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</si>
  <si>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</si>
  <si>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</si>
  <si>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</si>
  <si>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</si>
  <si>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</si>
  <si>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PR.IR</t>
  </si>
  <si>
    <t>Security architectures are managed with the organization's risk strategy to protect asset confidentiality, integrity, and availability, and organizational resilience</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</si>
  <si>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</si>
  <si>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</si>
  <si>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</si>
  <si>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</si>
  <si>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</si>
  <si>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</si>
  <si>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</si>
  <si>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</si>
  <si>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
  </si>
  <si>
    <t>Possible cybersecurity attacks and compromises are found and analyzed</t>
  </si>
  <si>
    <t>DE.CM</t>
  </si>
  <si>
    <t>Assets are monitored to find anomalies, indicators of compromise, and other potentially adverse events</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</si>
  <si>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</si>
  <si>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</si>
  <si>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</si>
  <si>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</si>
  <si>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</si>
  <si>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</si>
  <si>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</si>
  <si>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</si>
  <si>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</si>
  <si>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</si>
  <si>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DE.AE</t>
  </si>
  <si>
    <t>Anomalies, indicators of compromise, and other potentially adverse events are analyzed to characterize the events and detect cybersecurity incidents</t>
  </si>
  <si>
    <t>DE.AE-01</t>
  </si>
  <si>
    <t>Adverse events are analyzed to find possible attacks and compromises</t>
  </si>
  <si>
    <t>DE.AE-02</t>
  </si>
  <si>
    <t>Potentially adverse events are analyzed to better understand associated activities</t>
  </si>
  <si>
    <t>DE.AE-03</t>
  </si>
  <si>
    <t>Information is correlated from multiple sources</t>
  </si>
  <si>
    <t>DE.AE-04</t>
  </si>
  <si>
    <t>The estimated impact and scope of adverse events are understood</t>
  </si>
  <si>
    <t>DE.AE-05</t>
  </si>
  <si>
    <t>Cyber threat intelligence and other contextual information are integrated into the analysis</t>
  </si>
  <si>
    <t>DE.AE-06</t>
  </si>
  <si>
    <t>Information on adverse events is provided to authorized staff and tools</t>
  </si>
  <si>
    <t>DE.AE-07</t>
  </si>
  <si>
    <t>DE.AE-08</t>
  </si>
  <si>
    <t>Incidents are declared when adverse events meet the defined incident criteria</t>
  </si>
  <si>
    <t>RS</t>
  </si>
  <si>
    <t>Actions regarding a detected cybersecurity incident are taken</t>
  </si>
  <si>
    <t>RS.MA</t>
  </si>
  <si>
    <t>Responses to detected cybersecurity incidents are managed</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</si>
  <si>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</si>
  <si>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</si>
  <si>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</si>
  <si>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</si>
  <si>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</si>
  <si>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</si>
  <si>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</si>
  <si>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</si>
  <si>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</si>
  <si>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</si>
  <si>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RS.AN</t>
  </si>
  <si>
    <t>Investigations are conducted to ensure effective response and support forensics and recovery activities</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</si>
  <si>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</si>
  <si>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</si>
  <si>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</si>
  <si>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</si>
  <si>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</si>
  <si>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</si>
  <si>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</si>
  <si>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</si>
  <si>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RS.CO</t>
  </si>
  <si>
    <t>Response activities are coordinated with internal and external stakeholders as required by laws, regulations, or policies</t>
  </si>
  <si>
    <t>RS.CO-02</t>
  </si>
  <si>
    <t>Internal and external stakeholders are notified of incidents</t>
  </si>
  <si>
    <t>RS.CO-03</t>
  </si>
  <si>
    <t>Information is shared with designated internal and external stakeholders</t>
  </si>
  <si>
    <t>RS.MI</t>
  </si>
  <si>
    <t>Activities are performed to prevent expansion of an event and mitigate its effects</t>
  </si>
  <si>
    <t>RS.MI-01</t>
  </si>
  <si>
    <t>Incidents are contained</t>
  </si>
  <si>
    <t>RS.MI-02</t>
  </si>
  <si>
    <t>Incidents are eradicated</t>
  </si>
  <si>
    <t>RC</t>
  </si>
  <si>
    <t>Assets and operations affected by a cybersecurity incident are restored</t>
  </si>
  <si>
    <t>RC.RP</t>
  </si>
  <si>
    <t>Restoration activities are performed to ensure operational availability of systems and services affected by cybersecurity incidents</t>
  </si>
  <si>
    <t>RC.RP-01</t>
  </si>
  <si>
    <t>The recovery portion of the incident response plan is executed once initiated from the incident response process</t>
  </si>
  <si>
    <t>RC.RP-02</t>
  </si>
  <si>
    <t>Recovery actions are selected, scoped, prioritized, and performed</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</si>
  <si>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</si>
  <si>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</si>
  <si>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</si>
  <si>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</si>
  <si>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</si>
  <si>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</si>
  <si>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</si>
  <si>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</si>
  <si>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RC.CO</t>
  </si>
  <si>
    <t>Restoration activities are coordinated with internal and external parties</t>
  </si>
  <si>
    <t>RC.CO-03</t>
  </si>
  <si>
    <t>Recovery activities and progress in restoring operational capabilities are communicated to designated internal and external stakeholders</t>
  </si>
  <si>
    <t>RC.CO-04</t>
  </si>
  <si>
    <t>Public updates on incident recovery are shared using approved methods and messaging</t>
  </si>
  <si>
    <t>Maturity Level Threshold Reference</t>
  </si>
  <si>
    <t>Total Points</t>
  </si>
  <si>
    <t>Maturity Level</t>
  </si>
  <si>
    <t>What It Means</t>
  </si>
  <si>
    <t>Governance</t>
  </si>
  <si>
    <t>Policy &amp; Process</t>
  </si>
  <si>
    <t>Impl / Mon / CI</t>
  </si>
  <si>
    <t>0-2</t>
  </si>
  <si>
    <t>1 - Ad Hoc</t>
  </si>
  <si>
    <t>Activities are informal, reactive, undocumented.</t>
  </si>
  <si>
    <t>Not assigned</t>
  </si>
  <si>
    <t>No policy</t>
  </si>
  <si>
    <t>Not implemented</t>
  </si>
  <si>
    <t>3-5</t>
  </si>
  <si>
    <t>2 - Defined</t>
  </si>
  <si>
    <t>Policies exist but inconsistently followed.</t>
  </si>
  <si>
    <t>Assigned but informal</t>
  </si>
  <si>
    <t>Policy exists, may be outdated</t>
  </si>
  <si>
    <t>Partial implementation</t>
  </si>
  <si>
    <t>6-7</t>
  </si>
  <si>
    <t>3 - Consistently Implemented</t>
  </si>
  <si>
    <t>Enterprise-wide and operating as intended.</t>
  </si>
  <si>
    <t>Clearly assigned, documented</t>
  </si>
  <si>
    <t>Current, approved, communicated</t>
  </si>
  <si>
    <t>Fully implemented</t>
  </si>
  <si>
    <t>8-9</t>
  </si>
  <si>
    <t>4 - Managed and Measurable</t>
  </si>
  <si>
    <t>Metrics tracked, effectiveness evaluated.</t>
  </si>
  <si>
    <t>Fully accountable</t>
  </si>
  <si>
    <t>Enforced with review cycle</t>
  </si>
  <si>
    <t>Metrics tracked and reviewed</t>
  </si>
  <si>
    <t>10</t>
  </si>
  <si>
    <t>5 - Optimized</t>
  </si>
  <si>
    <t>Continuous improvement embedded, controls adapt.</t>
  </si>
  <si>
    <t>Drives culture</t>
  </si>
  <si>
    <t>Adapts to changes</t>
  </si>
  <si>
    <t>Feedback loops active</t>
  </si>
  <si>
    <t>Dimension Scoring Reference</t>
  </si>
  <si>
    <t>Score</t>
  </si>
  <si>
    <t>Implementation</t>
  </si>
  <si>
    <t>Monitoring &amp; Measurement</t>
  </si>
  <si>
    <t>Continuous Improvement</t>
  </si>
  <si>
    <t>0</t>
  </si>
  <si>
    <t>No ownership defined</t>
  </si>
  <si>
    <t>No policy exists</t>
  </si>
  <si>
    <t>No monitoring</t>
  </si>
  <si>
    <t>No improvement process</t>
  </si>
  <si>
    <t>1</t>
  </si>
  <si>
    <t>Ownership exists but unclear</t>
  </si>
  <si>
    <t>Policy outdated or incomplete</t>
  </si>
  <si>
    <t>Partial (some systems)</t>
  </si>
  <si>
    <t>Ad hoc monitoring</t>
  </si>
  <si>
    <t>Improvements ad hoc</t>
  </si>
  <si>
    <t>2</t>
  </si>
  <si>
    <t>Clearly assigned and documented</t>
  </si>
  <si>
    <t>Current, approved, enforced</t>
  </si>
  <si>
    <t>Enterprise-wide</t>
  </si>
  <si>
    <t>Formal feedback loops</t>
  </si>
  <si>
    <t>Enterprise Roll-Up Decision Rules</t>
  </si>
  <si>
    <t>Apply these rules in order. The first matching rule determines the enterprise score. Document the rule number in Column O of the Enterprise Profile.</t>
  </si>
  <si>
    <t>Rule #</t>
  </si>
  <si>
    <t>Scenario</t>
  </si>
  <si>
    <t>Enterprise Score</t>
  </si>
  <si>
    <t>Rationale</t>
  </si>
  <si>
    <t>#1</t>
  </si>
  <si>
    <t>All 3 tiers have the same score</t>
  </si>
  <si>
    <t>That score</t>
  </si>
  <si>
    <t>No conflict. All tiers agree.</t>
  </si>
  <si>
    <t>#2</t>
  </si>
  <si>
    <t>Primary alignment to a Core metric AND any tier has a gap</t>
  </si>
  <si>
    <t>Lowest score (strict floor)</t>
  </si>
  <si>
    <t>IG evaluates this directly. No exceptions.</t>
  </si>
  <si>
    <t>#3</t>
  </si>
  <si>
    <t>High tier is the lowest scorer</t>
  </si>
  <si>
    <t>High tier's score</t>
  </si>
  <si>
    <t>High systems define the risk posture.</t>
  </si>
  <si>
    <t>#4</t>
  </si>
  <si>
    <t>Moderate tier is the lowest scorer</t>
  </si>
  <si>
    <t>Moderate tier's score</t>
  </si>
  <si>
    <t>Moderate systems are significant boundaries.</t>
  </si>
  <si>
    <t>#5</t>
  </si>
  <si>
    <t>Only Low tier is lowest + Supporting or Supplemental</t>
  </si>
  <si>
    <t>High/Mod score (document exception)</t>
  </si>
  <si>
    <t>1 Low system does not override 25 on non-Core metrics.</t>
  </si>
  <si>
    <t>#6</t>
  </si>
  <si>
    <t>Mixed / unclear</t>
  </si>
  <si>
    <t>Lower score (document reasoning)</t>
  </si>
  <si>
    <t>When in doubt, be conservative.</t>
  </si>
  <si>
    <t>IMPORTANT: Rule #2 overrides Rule #5. If the subcategory has Primary alignment to a Core metric, use the strict floor even if only the Low system has the gap.</t>
  </si>
  <si>
    <t>Enterprise Organizational Profile — Instructions</t>
  </si>
  <si>
    <t>WHAT THIS FILE IS</t>
  </si>
  <si>
    <t>This is the single enterprise deliverable for the CSF 2.0 Organizational Profile. It combines the Working Profile and the 5-Dimension Scoring Worksheet into one document. Everything lives in one row per subcategory.</t>
  </si>
  <si>
    <t>This file is synthesized from the three tier profiles (High, Moderate, Low). Do NOT fill this in during interviews. Fill in the tier profiles during interviews, then use this file to synthesize the enterprise view.</t>
  </si>
  <si>
    <t>THE COLUMN LAYOUT</t>
  </si>
  <si>
    <t>Columns A-B: IDENTIFICATION — Subcategory ID and description. Pre-populated. Do not edit.</t>
  </si>
  <si>
    <t>Column C: IN SCOPE — Yes or No. This is the 3/15 deliverable. Default is Yes. If you exclude a subcategory, explain in Column P.</t>
  </si>
  <si>
    <t>Column D: WHAT WE FOUND — The enterprise narrative. Synthesized from all three tier profiles. Describe what is working, where gaps exist, and which tier is driving the gap.</t>
  </si>
  <si>
    <t>Column E: EVIDENCE / ARTIFACTS — Key document references from all three tiers. Do not list every document from every system — list the most significant evidence.</t>
  </si>
  <si>
    <t>Columns F-J: 5-DIMENSION SCORES — The enterprise-level scores for Governance (0-2), Policy &amp; Process (0-2), Implementation (0-2), Monitoring (0-2), and Continuous Improvement (0-2). These represent the rolled-up enterprise assessment, not a single system.</t>
  </si>
  <si>
    <t>Column K: TOTAL — Auto-calculates. Sum of the 5 dimensions (0-10). Only calculates when all 5 dimensions are filled in.</t>
  </si>
  <si>
    <t>Column L: CURRENT MATURITY LEVEL — Auto-calculates from the total. 0-2=Level 1, 3-5=Level 2, 6-7=Level 3, 8-9=Level 4, 10=Level 5.</t>
  </si>
  <si>
    <t>Column M: TARGET MATURITY LEVEL — Set by the Gov Lead/COR. Leave blank until they define targets.</t>
  </si>
  <si>
    <t>Column N: GAP? — Auto-calculates. Shows GAP if current is below target, OK if current meets or exceeds target.</t>
  </si>
  <si>
    <t>Column O: TIER DRIVER / ROLL-UP RULE — Document which tier drove the enterprise score and which decision rule was applied. Example: "Driven by HIGH (Rule #3)" or "All tiers consistent (Rule #1)". See the Roll-Up Decision Rules tab.</t>
  </si>
  <si>
    <t>Column P: NOTES — Anything else. Draft flags, follow-up items, reviewer comments.</t>
  </si>
  <si>
    <t>HOW TO FILL THIS IN</t>
  </si>
  <si>
    <t>1. Complete all three tier profiles (High, Moderate, Low) first. Lock their scores.</t>
  </si>
  <si>
    <t>2. Open this file and all three tier profiles side by side.</t>
  </si>
  <si>
    <t>3. For each subcategory, look at Column F (maturity score) in High, Moderate, and Low.</t>
  </si>
  <si>
    <t>4. Check the Roll-Up Decision Rules tab. Apply the rules in order — the first matching rule determines the enterprise score.</t>
  </si>
  <si>
    <t>5. Score the 5 dimensions (Columns F-J) to reflect the enterprise-level assessment. The maturity level auto-calculates.</t>
  </si>
  <si>
    <t>6. Write the synthesized narrative in Column D.</t>
  </si>
  <si>
    <t>7. Document the tier driver and rule number in Column O.</t>
  </si>
  <si>
    <t>8. Repeat for all 108 subcategories.</t>
  </si>
  <si>
    <t>THE EVIDENCE RULE</t>
  </si>
  <si>
    <t>If evidence cannot be produced for a subcategory, the Implementation dimension (Column H) cannot score above 1 and the maturity level cannot exceed Level 2. This is a hard rule.</t>
  </si>
  <si>
    <t>SCORING THE 5 DIMENSIONS AT ENTERPRISE LEVEL</t>
  </si>
  <si>
    <t>When scoring the enterprise, each dimension reflects the worst-case across the tiers that matter (per the decision rules):</t>
  </si>
  <si>
    <t xml:space="preserve">   Governance: Is ownership assigned enterprise-wide? If High systems have clear ownership but Moderate don’t, Governance = 1 (partial).</t>
  </si>
  <si>
    <t xml:space="preserve">   Policy: Does a current, approved policy exist that covers all tiers? Usually this is enterprise-wide, so tiers often agree.</t>
  </si>
  <si>
    <t xml:space="preserve">   Implementation: Is the capability implemented across ALL in-scope systems? If 16 of 18 High systems implement MFA but 2 don’t, Implementation = 1 (partial).</t>
  </si>
  <si>
    <t xml:space="preserve">   Monitoring: Are metrics tracked across the enterprise? If monitoring exists for High but not Moderate, Monitoring = 1.</t>
  </si>
  <si>
    <t xml:space="preserve">   Continuous Improvement: Is there a formal improvement process? This is typically enterprise-wide.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</si>
</sst>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3"/>
      <color rgb="FF1F4E79"/>
      <name val="Arial"/>
      <charset val="1"/>
    </font>
    <font>
      <b/>
      <sz val="8"/>
      <color rgb="FFFFFFFF"/>
      <name val="Arial"/>
      <charset val="1"/>
    </font>
    <font>
      <b/>
      <sz val="8"/>
      <color rgb="FF1F4E79"/>
      <name val="Arial"/>
      <charset val="1"/>
    </font>
    <font>
      <b/>
      <sz val="9"/>
      <color rgb="FFFFFFFF"/>
      <name val="Arial"/>
      <charset val="1"/>
    </font>
    <font>
      <b/>
      <sz val="10"/>
      <color rgb="FFFFFFFF"/>
      <name val="Arial"/>
      <charset val="1"/>
    </font>
    <font>
      <b/>
      <sz val="9"/>
      <color rgb="FF1F4E79"/>
      <name val="Arial"/>
      <charset val="1"/>
    </font>
    <font>
      <b/>
      <sz val="9"/>
      <name val="Arial"/>
      <charset val="1"/>
    </font>
    <font>
      <sz val="9"/>
      <name val="Arial"/>
      <charset val="1"/>
    </font>
    <font>
      <sz val="8"/>
      <name val="Arial"/>
      <charset val="1"/>
    </font>
    <font>
      <b/>
      <sz val="14"/>
      <color rgb="FF1F4E79"/>
      <name val="Arial"/>
      <charset val="1"/>
    </font>
    <font>
      <b/>
      <sz val="10"/>
      <name val="Arial"/>
      <charset val="1"/>
    </font>
    <font>
      <sz val="10"/>
      <name val="Arial"/>
      <charset val="1"/>
    </font>
    <font>
      <b/>
      <sz val="12"/>
      <color rgb="FF1F4E79"/>
      <name val="Arial"/>
      <charset val="1"/>
    </font>
    <font>
      <i/>
      <sz val="9"/>
      <color rgb="FF666666"/>
      <name val="Arial"/>
      <charset val="1"/>
    </font>
    <font>
      <b/>
      <sz val="10"/>
      <color rgb="FFCC0000"/>
      <name val="Arial"/>
      <charset val="1"/>
    </font>
    <font>
      <b/>
      <sz val="16"/>
      <color rgb="FF1F4E79"/>
      <name val="Arial"/>
      <charset val="1"/>
    </font>
    <font>
      <i/>
      <sz val="10"/>
      <color rgb="FF666666"/>
      <name val="Arial"/>
      <charset val="1"/>
    </font>
  </fonts>
  <fills count="14">
    <fill>
      <patternFill patternType="none"/>
    </fill>
    <fill>
      <patternFill patternType="gray125"/>
    </fill>
    <fill>
      <patternFill patternType="solid">
        <fgColor rgb="FF1F4E79"/>
        <bgColor rgb="FF003366"/>
      </patternFill>
    </fill>
    <fill>
      <patternFill patternType="solid">
        <fgColor rgb="FFD6E4F0"/>
        <bgColor rgb="FFE0E0E0"/>
      </patternFill>
    </fill>
    <fill>
      <patternFill patternType="solid">
        <fgColor rgb="FFE8F5E9"/>
        <bgColor rgb="FFEBF5FF"/>
      </patternFill>
    </fill>
    <fill>
      <patternFill patternType="solid">
        <fgColor rgb="FFFFF8E1"/>
        <bgColor rgb="FFFFFFF0"/>
      </patternFill>
    </fill>
    <fill>
      <patternFill patternType="solid">
        <fgColor rgb="FFEBF5FF"/>
        <bgColor rgb="FFF5F5F5"/>
      </patternFill>
    </fill>
    <fill>
      <patternFill patternType="solid">
        <fgColor rgb="FFF3E5F5"/>
        <bgColor rgb="FFF5F5F5"/>
      </patternFill>
    </fill>
    <fill>
      <patternFill patternType="solid">
        <fgColor rgb="FFF5F5F5"/>
        <bgColor rgb="FFF7F9FC"/>
      </patternFill>
    </fill>
    <fill>
      <patternFill patternType="solid">
        <fgColor rgb="FFFFFFF0"/>
        <bgColor rgb="FFFFFFFF"/>
      </patternFill>
    </fill>
    <fill>
      <patternFill patternType="solid">
        <fgColor rgb="FFF7F9FC"/>
        <bgColor rgb="FFF5F5F5"/>
      </patternFill>
    </fill>
    <fill>
      <patternFill patternType="solid">
        <fgColor rgb="FFC6EFCE"/>
        <bgColor rgb="FFD6E4F0"/>
      </patternFill>
    </fill>
    <fill>
      <patternFill patternType="solid">
        <fgColor rgb="FFFFC7CE"/>
        <bgColor rgb="FFE0E0E0"/>
      </patternFill>
    </fill>
    <fill>
      <patternFill patternType="solid">
        <fgColor rgb="FFFFEB9C"/>
        <bgColor rgb="FFFFF8E1"/>
      </patternFill>
    </fill>
  </fills>
  <borders count="3">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6">
    <xf numFmtId="0" fontId="0" fillId="0" borderId="0" xfId="0"/>
    <xf numFmtId="0" fontId="12" fillId="0" borderId="0" xfId="0" applyFont="1" applyBorder="1" applyAlignment="1">
      <alignment vertical="top" wrapText="1"/>
    </xf>
    <xf numFmtId="0" fontId="13" fillId="0" borderId="0" xfId="0" applyFont="1" applyBorder="1" applyAlignment="1">
      <alignment vertical="top" wrapText="1"/>
    </xf>
    <xf numFmtId="0" fontId="16" fillId="0" borderId="0" xfId="0" applyFont="1" applyBorder="1" applyAlignment="1">
      <alignment vertical="top" wrapText="1"/>
    </xf>
    <xf numFmtId="0" fontId="15" fillId="0" borderId="0" xfId="0" applyFont="1" applyBorder="1" applyAlignment="1">
      <alignment vertical="top" wrapText="1"/>
    </xf>
    <xf numFmtId="0" fontId="14" fillId="0" borderId="0" xfId="0" applyFont="1" applyBorder="1" applyAlignment="1">
      <alignment vertical="top" wrapText="1"/>
    </xf>
    <xf numFmtId="0" fontId="10" fillId="0" borderId="0" xfId="0" applyFont="1" applyBorder="1"/>
    <xf numFmtId="0" fontId="3" fillId="8"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0" xfId="0" applyFont="1" applyBorder="1"/>
    <xf numFmtId="0" fontId="3" fillId="3" borderId="2" xfId="0" applyFont="1" applyFill="1" applyBorder="1" applyAlignment="1">
      <alignment horizontal="center" vertical="center"/>
    </xf>
    <xf numFmtId="0" fontId="4" fillId="2" borderId="2" xfId="0" applyFont="1" applyFill="1" applyBorder="1" applyAlignment="1">
      <alignment horizontal="center" vertical="top" wrapText="1"/>
    </xf>
    <xf numFmtId="0" fontId="5" fillId="2" borderId="2" xfId="0" applyFont="1" applyFill="1" applyBorder="1"/>
    <xf numFmtId="0" fontId="5" fillId="2" borderId="2" xfId="0" applyFont="1" applyFill="1" applyBorder="1" applyAlignment="1">
      <alignment vertical="top" wrapText="1"/>
    </xf>
    <xf numFmtId="0" fontId="0" fillId="2" borderId="2" xfId="0" applyFill="1" applyBorder="1"/>
    <xf numFmtId="0" fontId="6" fillId="3" borderId="2" xfId="0" applyFont="1" applyFill="1" applyBorder="1"/>
    <xf numFmtId="0" fontId="6" fillId="3" borderId="2" xfId="0" applyFont="1" applyFill="1" applyBorder="1" applyAlignment="1">
      <alignment vertical="top" wrapText="1"/>
    </xf>
    <xf numFmtId="0" fontId="0" fillId="3" borderId="2" xfId="0" applyFill="1" applyBorder="1"/>
    <xf numFmtId="0" fontId="7" fillId="0" borderId="2" xfId="0" applyFont="1" applyBorder="1"/>
    <xf numFmtId="0" fontId="8" fillId="0" borderId="2" xfId="0" applyFont="1" applyBorder="1" applyAlignment="1">
      <alignment vertical="top" wrapText="1"/>
    </xf>
    <xf numFmtId="0" fontId="8" fillId="0" borderId="2" xfId="0" applyFont="1" applyBorder="1" applyAlignment="1">
      <alignment horizontal="center" vertical="top" wrapText="1"/>
    </xf>
    <xf numFmtId="0" fontId="8" fillId="9" borderId="2" xfId="0" applyFont="1" applyFill="1" applyBorder="1" applyAlignment="1">
      <alignment vertical="top" wrapText="1"/>
    </xf>
    <xf numFmtId="0" fontId="8" fillId="9" borderId="2" xfId="0" applyFont="1" applyFill="1" applyBorder="1" applyAlignment="1">
      <alignment horizontal="center" vertical="top" wrapText="1"/>
    </xf>
    <xf numFmtId="0" fontId="7" fillId="3" borderId="2" xfId="0" applyFont="1" applyFill="1" applyBorder="1" applyAlignment="1">
      <alignment horizontal="center" vertical="top" wrapText="1"/>
    </xf>
    <xf numFmtId="0" fontId="8" fillId="7" borderId="2" xfId="0" applyFont="1" applyFill="1" applyBorder="1" applyAlignment="1">
      <alignment horizontal="center" vertical="top" wrapText="1"/>
    </xf>
    <xf numFmtId="0" fontId="7" fillId="0" borderId="2" xfId="0" applyFont="1" applyBorder="1" applyAlignment="1">
      <alignment horizontal="center" vertical="top" wrapText="1"/>
    </xf>
    <xf numFmtId="0" fontId="9" fillId="0" borderId="2" xfId="0" applyFont="1" applyBorder="1" applyAlignment="1">
      <alignment vertical="top" wrapText="1"/>
    </xf>
    <xf numFmtId="0" fontId="7" fillId="10" borderId="2" xfId="0" applyFont="1" applyFill="1" applyBorder="1"/>
    <xf numFmtId="0" fontId="8" fillId="10" borderId="2" xfId="0" applyFont="1" applyFill="1" applyBorder="1" applyAlignment="1">
      <alignment vertical="top" wrapText="1"/>
    </xf>
    <xf numFmtId="0" fontId="11" fillId="0" borderId="2" xfId="0" applyFont="1" applyBorder="1" applyAlignment="1">
      <alignment vertical="top" wrapText="1"/>
    </xf>
    <xf numFmtId="0" fontId="12" fillId="0" borderId="2" xfId="0" applyFont="1" applyBorder="1" applyAlignment="1">
      <alignment vertical="top" wrapText="1"/>
    </xf>
    <xf numFmtId="0" fontId="11" fillId="10" borderId="2" xfId="0" applyFont="1" applyFill="1" applyBorder="1" applyAlignment="1">
      <alignment vertical="top" wrapText="1"/>
    </xf>
    <xf numFmtId="0" fontId="12" fillId="10" borderId="2" xfId="0" applyFont="1" applyFill="1" applyBorder="1" applyAlignment="1">
      <alignment vertical="top" wrapText="1"/>
    </xf>
    <xf numFmtId="0" fontId="13" fillId="0" borderId="0" xfId="0" applyFont="1"/>
    <xf numFmtId="0" fontId="11" fillId="11" borderId="2" xfId="0" applyFont="1" applyFill="1" applyBorder="1" applyAlignment="1">
      <alignment vertical="top" wrapText="1"/>
    </xf>
    <xf numFmtId="0" fontId="12" fillId="11" borderId="2" xfId="0" applyFont="1" applyFill="1" applyBorder="1" applyAlignment="1">
      <alignment vertical="top" wrapText="1"/>
    </xf>
    <xf numFmtId="0" fontId="11" fillId="12" borderId="2" xfId="0" applyFont="1" applyFill="1" applyBorder="1" applyAlignment="1">
      <alignment vertical="top" wrapText="1"/>
    </xf>
    <xf numFmtId="0" fontId="12" fillId="12" borderId="2" xfId="0" applyFont="1" applyFill="1" applyBorder="1" applyAlignment="1">
      <alignment vertical="top" wrapText="1"/>
    </xf>
    <xf numFmtId="0" fontId="11" fillId="13" borderId="2" xfId="0" applyFont="1" applyFill="1" applyBorder="1" applyAlignment="1">
      <alignment vertical="top" wrapText="1"/>
    </xf>
    <xf numFmtId="0" fontId="12" fillId="13" borderId="2" xfId="0" applyFont="1" applyFill="1" applyBorder="1" applyAlignment="1">
      <alignment vertical="top" wrapText="1"/>
    </xf>
    <xf numFmtId="0" fontId="11" fillId="0" borderId="0" xfId="0" applyFont="1" applyBorder="1" applyAlignment="1">
      <alignment vertical="top" wrapText="1"/>
    </xf>
    <xf numFmtId="0" fontId="17" fillId="0" borderId="0" xfId="0" applyFont="1" applyBorder="1" applyAlignment="1">
      <alignment vertical="top" wrapText="1"/>
    </xf>
  </cellXfs>
  <cellStyles count="1">
    <cellStyle name="Normal" xfId="0" builtinId="0"/>
  </cellStyles>
  <dxfs count="3">
    <dxf>
      <fill>
        <patternFill>
          <bgColor rgb="FFC6EFCE"/>
        </patternFill>
      </fill>
    </dxf>
    <dxf>
      <fill>
        <patternFill>
          <bgColor rgb="FFFFC7CE"/>
        </patternFill>
      </fill>
    </dxf>
    <dxf>
      <fill>
        <patternFill>
          <bgColor rgb="FFE0E0E0"/>
        </patternFill>
      </fill>
    </dxf>
  </dxfs>
  <tableStyles count="0" defaultTableStyle="TableStyleMedium2" defaultPivotStyle="PivotStyleLight16"/>
  <colors>
    <indexedColors>
      <rgbColor rgb="FF000000"/>
      <rgbColor rgb="FFFFFFFF"/>
      <rgbColor rgb="FFCC0000"/>
      <rgbColor rgb="FF00FF00"/>
      <rgbColor rgb="FF0000FF"/>
      <rgbColor rgb="FFFFFFF0"/>
      <rgbColor rgb="FFFF00FF"/>
      <rgbColor rgb="FF00FFFF"/>
      <rgbColor rgb="FF800000"/>
      <rgbColor rgb="FF006100"/>
      <rgbColor rgb="FF000080"/>
      <rgbColor rgb="FF808000"/>
      <rgbColor rgb="FF800080"/>
      <rgbColor rgb="FF008080"/>
      <rgbColor rgb="FFBFBFBF"/>
      <rgbColor rgb="FF808080"/>
      <rgbColor rgb="FF9999FF"/>
      <rgbColor rgb="FF993366"/>
      <rgbColor rgb="FFFFF8E1"/>
      <rgbColor rgb="FFE8F5E9"/>
      <rgbColor rgb="FF660066"/>
      <rgbColor rgb="FFFF8080"/>
      <rgbColor rgb="FF0066CC"/>
      <rgbColor rgb="FFD6E4F0"/>
      <rgbColor rgb="FF000080"/>
      <rgbColor rgb="FFFF00FF"/>
      <rgbColor rgb="FFF7F9FC"/>
      <rgbColor rgb="FF00FFFF"/>
      <rgbColor rgb="FF800080"/>
      <rgbColor rgb="FF800000"/>
      <rgbColor rgb="FF008080"/>
      <rgbColor rgb="FF0000FF"/>
      <rgbColor rgb="FF00CCFF"/>
      <rgbColor rgb="FFEBF5FF"/>
      <rgbColor rgb="FFC6EFCE"/>
      <rgbColor rgb="FFFFEB9C"/>
      <rgbColor rgb="FFE0E0E0"/>
      <rgbColor rgb="FFF3E5F5"/>
      <rgbColor rgb="FFF5F5F5"/>
      <rgbColor rgb="FFFFC7CE"/>
      <rgbColor rgb="FF2E75B6"/>
      <rgbColor rgb="FF33CCCC"/>
      <rgbColor rgb="FF99CC00"/>
      <rgbColor rgb="FFFFCC00"/>
      <rgbColor rgb="FFBF8F00"/>
      <rgbColor rgb="FFFF6600"/>
      <rgbColor rgb="FF666666"/>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B60"/>
  <sheetViews>
    <sheetView topLeftCell="A11" zoomScaleNormal="100" workbookViewId="0">
      <selection activeCell="A28" sqref="A28:B28"/>
    </sheetView>
  </sheetViews>
  <sheetFormatPr defaultColWidth="8.7109375" defaultRowHeight="15" x14ac:dyDescent="0.25"/>
  <cols>
    <col min="1" max="1" width="4" customWidth="1"/>
    <col min="2" max="2" width="90" customWidth="1"/>
  </cols>
  <sheetData>
    <row r="1" spans="1:2" ht="19.7" customHeight="1" x14ac:dyDescent="0.25">
      <c r="A1" s="3" t="s">
        <v>384</v>
      </c>
      <c r="B1" s="3"/>
    </row>
    <row r="3" spans="1:2" ht="15" customHeight="1" x14ac:dyDescent="0.25">
      <c r="A3" s="2" t="s">
        <v>385</v>
      </c>
      <c r="B3" s="2"/>
    </row>
    <row r="5" spans="1:2" ht="23.85" customHeight="1" x14ac:dyDescent="0.25">
      <c r="A5" s="1" t="s">
        <v>386</v>
      </c>
      <c r="B5" s="1"/>
    </row>
    <row r="7" spans="1:2" ht="23.85" customHeight="1" x14ac:dyDescent="0.25">
      <c r="A7" s="44" t="s">
        <v>387</v>
      </c>
      <c r="B7" s="44"/>
    </row>
    <row r="10" spans="1:2" ht="15" customHeight="1" x14ac:dyDescent="0.25">
      <c r="A10" s="2" t="s">
        <v>388</v>
      </c>
      <c r="B10" s="2"/>
    </row>
    <row r="12" spans="1:2" ht="15" customHeight="1" x14ac:dyDescent="0.25">
      <c r="A12" s="44" t="s">
        <v>389</v>
      </c>
      <c r="B12" s="44"/>
    </row>
    <row r="14" spans="1:2" ht="23.85" customHeight="1" x14ac:dyDescent="0.25">
      <c r="A14" s="44" t="s">
        <v>390</v>
      </c>
      <c r="B14" s="44"/>
    </row>
    <row r="16" spans="1:2" ht="23.85" customHeight="1" x14ac:dyDescent="0.25">
      <c r="A16" s="44" t="s">
        <v>391</v>
      </c>
      <c r="B16" s="44"/>
    </row>
    <row r="18" spans="1:2" ht="23.85" customHeight="1" x14ac:dyDescent="0.25">
      <c r="A18" s="44" t="s">
        <v>392</v>
      </c>
      <c r="B18" s="44"/>
    </row>
    <row r="20" spans="1:2" ht="35.1" customHeight="1" x14ac:dyDescent="0.25">
      <c r="A20" s="44" t="s">
        <v>393</v>
      </c>
      <c r="B20" s="44"/>
    </row>
    <row r="22" spans="1:2" ht="23.85" customHeight="1" x14ac:dyDescent="0.25">
      <c r="A22" s="44" t="s">
        <v>394</v>
      </c>
      <c r="B22" s="44"/>
    </row>
    <row r="24" spans="1:2" ht="23.85" customHeight="1" x14ac:dyDescent="0.25">
      <c r="A24" s="44" t="s">
        <v>395</v>
      </c>
      <c r="B24" s="44"/>
    </row>
    <row r="26" spans="1:2" ht="15" customHeight="1" x14ac:dyDescent="0.25">
      <c r="A26" s="44" t="s">
        <v>396</v>
      </c>
      <c r="B26" s="44"/>
    </row>
    <row r="28" spans="1:2" ht="23.85" customHeight="1" x14ac:dyDescent="0.25">
      <c r="A28" s="44" t="s">
        <v>397</v>
      </c>
      <c r="B28" s="44"/>
    </row>
    <row r="30" spans="1:2" ht="35.1" customHeight="1" x14ac:dyDescent="0.25">
      <c r="A30" s="44" t="s">
        <v>398</v>
      </c>
      <c r="B30" s="44"/>
    </row>
    <row r="32" spans="1:2" ht="15" customHeight="1" x14ac:dyDescent="0.25">
      <c r="A32" s="44" t="s">
        <v>399</v>
      </c>
      <c r="B32" s="44"/>
    </row>
    <row r="35" spans="1:2" ht="15" customHeight="1" x14ac:dyDescent="0.25">
      <c r="A35" s="2" t="s">
        <v>400</v>
      </c>
      <c r="B35" s="2"/>
    </row>
    <row r="37" spans="1:2" ht="15" customHeight="1" x14ac:dyDescent="0.25">
      <c r="A37" s="1" t="s">
        <v>401</v>
      </c>
      <c r="B37" s="1"/>
    </row>
    <row r="38" spans="1:2" ht="15" customHeight="1" x14ac:dyDescent="0.25">
      <c r="A38" s="1" t="s">
        <v>402</v>
      </c>
      <c r="B38" s="1"/>
    </row>
    <row r="39" spans="1:2" ht="15" customHeight="1" x14ac:dyDescent="0.25">
      <c r="A39" s="1" t="s">
        <v>403</v>
      </c>
      <c r="B39" s="1"/>
    </row>
    <row r="40" spans="1:2" ht="23.85" customHeight="1" x14ac:dyDescent="0.25">
      <c r="A40" s="1" t="s">
        <v>404</v>
      </c>
      <c r="B40" s="1"/>
    </row>
    <row r="41" spans="1:2" ht="23.85" customHeight="1" x14ac:dyDescent="0.25">
      <c r="A41" s="1" t="s">
        <v>405</v>
      </c>
      <c r="B41" s="1"/>
    </row>
    <row r="42" spans="1:2" ht="15" customHeight="1" x14ac:dyDescent="0.25">
      <c r="A42" s="1" t="s">
        <v>406</v>
      </c>
      <c r="B42" s="1"/>
    </row>
    <row r="43" spans="1:2" ht="15" customHeight="1" x14ac:dyDescent="0.25">
      <c r="A43" s="1" t="s">
        <v>407</v>
      </c>
      <c r="B43" s="1"/>
    </row>
    <row r="44" spans="1:2" ht="15" customHeight="1" x14ac:dyDescent="0.25">
      <c r="A44" s="1" t="s">
        <v>408</v>
      </c>
      <c r="B44" s="1"/>
    </row>
    <row r="47" spans="1:2" ht="15" customHeight="1" x14ac:dyDescent="0.25">
      <c r="A47" s="2" t="s">
        <v>409</v>
      </c>
      <c r="B47" s="2"/>
    </row>
    <row r="49" spans="1:2" ht="23.85" customHeight="1" x14ac:dyDescent="0.25">
      <c r="A49" s="44" t="s">
        <v>410</v>
      </c>
      <c r="B49" s="44"/>
    </row>
    <row r="52" spans="1:2" ht="15" customHeight="1" x14ac:dyDescent="0.25">
      <c r="A52" s="2" t="s">
        <v>411</v>
      </c>
      <c r="B52" s="2"/>
    </row>
    <row r="54" spans="1:2" ht="23.85" customHeight="1" x14ac:dyDescent="0.25">
      <c r="A54" s="1" t="s">
        <v>412</v>
      </c>
      <c r="B54" s="1"/>
    </row>
    <row r="56" spans="1:2" ht="23.85" customHeight="1" x14ac:dyDescent="0.25">
      <c r="A56" s="45" t="s">
        <v>413</v>
      </c>
      <c r="B56" s="45"/>
    </row>
    <row r="57" spans="1:2" ht="23.85" customHeight="1" x14ac:dyDescent="0.25">
      <c r="A57" s="45" t="s">
        <v>414</v>
      </c>
      <c r="B57" s="45"/>
    </row>
    <row r="58" spans="1:2" ht="23.85" customHeight="1" x14ac:dyDescent="0.25">
      <c r="A58" s="45" t="s">
        <v>415</v>
      </c>
      <c r="B58" s="45"/>
    </row>
    <row r="59" spans="1:2" ht="23.85" customHeight="1" x14ac:dyDescent="0.25">
      <c r="A59" s="45" t="s">
        <v>416</v>
      </c>
      <c r="B59" s="45"/>
    </row>
    <row r="60" spans="1:2" ht="15" customHeight="1" x14ac:dyDescent="0.25">
      <c r="A60" s="45" t="s">
        <v>417</v>
      </c>
      <c r="B60" s="45"/>
    </row>
  </sheetData>
  <mergeCells count="34">
    <mergeCell ref="A57:B57"/>
    <mergeCell ref="A58:B58"/>
    <mergeCell ref="A59:B59"/>
    <mergeCell ref="A60:B60"/>
    <mergeCell ref="A47:B47"/>
    <mergeCell ref="A49:B49"/>
    <mergeCell ref="A52:B52"/>
    <mergeCell ref="A54:B54"/>
    <mergeCell ref="A56:B56"/>
    <mergeCell ref="A40:B40"/>
    <mergeCell ref="A41:B41"/>
    <mergeCell ref="A42:B42"/>
    <mergeCell ref="A43:B43"/>
    <mergeCell ref="A44:B44"/>
    <mergeCell ref="A32:B32"/>
    <mergeCell ref="A35:B35"/>
    <mergeCell ref="A37:B37"/>
    <mergeCell ref="A38:B38"/>
    <mergeCell ref="A39:B39"/>
    <mergeCell ref="A22:B22"/>
    <mergeCell ref="A24:B24"/>
    <mergeCell ref="A26:B26"/>
    <mergeCell ref="A28:B28"/>
    <mergeCell ref="A30:B30"/>
    <mergeCell ref="A12:B12"/>
    <mergeCell ref="A14:B14"/>
    <mergeCell ref="A16:B16"/>
    <mergeCell ref="A18:B18"/>
    <mergeCell ref="A20:B20"/>
    <mergeCell ref="A1:B1"/>
    <mergeCell ref="A3:B3"/>
    <mergeCell ref="A5:B5"/>
    <mergeCell ref="A7:B7"/>
    <mergeCell ref="A10:B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P139"/>
  <sheetViews>
    <sheetView tabSelected="1" zoomScaleNormal="100" workbookViewId="0">
      <pane xSplit="2" ySplit="3" topLeftCell="C4" activePane="bottomRight" state="frozen"/>
      <selection pane="topRight" activeCell="C1" sqref="C1"/>
      <selection pane="bottomLeft" activeCell="A5" sqref="A5"/>
      <selection pane="bottomRight" activeCell="B5" sqref="B5"/>
    </sheetView>
  </sheetViews>
  <sheetFormatPr defaultColWidth="8.7109375" defaultRowHeight="15" x14ac:dyDescent="0.25"/>
  <cols>
    <col min="1" max="1" width="11" customWidth="1"/>
    <col min="2" max="2" width="38" customWidth="1"/>
    <col min="3" max="3" width="9" customWidth="1"/>
    <col min="4" max="4" width="35" customWidth="1"/>
    <col min="5" max="5" width="22" customWidth="1"/>
    <col min="6" max="6" width="14.28515625" bestFit="1" customWidth="1"/>
    <col min="7" max="7" width="10" customWidth="1"/>
    <col min="8" max="9" width="11" customWidth="1"/>
    <col min="10" max="10" width="14.7109375" bestFit="1" customWidth="1"/>
    <col min="11" max="11" width="7" customWidth="1"/>
    <col min="12" max="13" width="12" customWidth="1"/>
    <col min="14" max="14" width="7" customWidth="1"/>
    <col min="15" max="15" width="14" customWidth="1"/>
    <col min="16" max="16" width="22" customWidth="1"/>
  </cols>
  <sheetData>
    <row r="1" spans="1:16" ht="16.5" x14ac:dyDescent="0.25">
      <c r="A1" s="13" t="s">
        <v>0</v>
      </c>
      <c r="B1" s="13"/>
      <c r="C1" s="13"/>
      <c r="D1" s="13"/>
      <c r="E1" s="13"/>
      <c r="F1" s="13"/>
      <c r="G1" s="13"/>
      <c r="H1" s="13"/>
      <c r="I1" s="13"/>
      <c r="J1" s="13"/>
      <c r="K1" s="13"/>
      <c r="L1" s="13"/>
      <c r="M1" s="13"/>
      <c r="N1" s="13"/>
      <c r="O1" s="13"/>
      <c r="P1" s="13"/>
    </row>
    <row r="2" spans="1:16" x14ac:dyDescent="0.25">
      <c r="A2" s="12" t="s">
        <v>1</v>
      </c>
      <c r="B2" s="12"/>
      <c r="C2" s="14" t="s">
        <v>2</v>
      </c>
      <c r="D2" s="11" t="s">
        <v>3</v>
      </c>
      <c r="E2" s="11"/>
      <c r="F2" s="10" t="s">
        <v>4</v>
      </c>
      <c r="G2" s="10"/>
      <c r="H2" s="10"/>
      <c r="I2" s="10"/>
      <c r="J2" s="10"/>
      <c r="K2" s="9" t="s">
        <v>5</v>
      </c>
      <c r="L2" s="9"/>
      <c r="M2" s="8" t="s">
        <v>6</v>
      </c>
      <c r="N2" s="8"/>
      <c r="O2" s="7" t="s">
        <v>7</v>
      </c>
      <c r="P2" s="7"/>
    </row>
    <row r="3" spans="1:16" ht="60" x14ac:dyDescent="0.25">
      <c r="A3" s="15" t="s">
        <v>8</v>
      </c>
      <c r="B3" s="15" t="s">
        <v>9</v>
      </c>
      <c r="C3" s="15" t="s">
        <v>10</v>
      </c>
      <c r="D3" s="15" t="s">
        <v>11</v>
      </c>
      <c r="E3" s="15" t="s">
        <v>12</v>
      </c>
      <c r="F3" s="15" t="s">
        <v>13</v>
      </c>
      <c r="G3" s="15" t="s">
        <v>14</v>
      </c>
      <c r="H3" s="15" t="s">
        <v>15</v>
      </c>
      <c r="I3" s="15" t="s">
        <v>16</v>
      </c>
      <c r="J3" s="15" t="s">
        <v>17</v>
      </c>
      <c r="K3" s="15" t="s">
        <v>18</v>
      </c>
      <c r="L3" s="15" t="s">
        <v>19</v>
      </c>
      <c r="M3" s="15" t="s">
        <v>20</v>
      </c>
      <c r="N3" s="15" t="s">
        <v>21</v>
      </c>
      <c r="O3" s="15" t="s">
        <v>22</v>
      </c>
      <c r="P3" s="15" t="s">
        <v>23</v>
      </c>
    </row>
    <row r="4" spans="1:16" ht="51" x14ac:dyDescent="0.25">
      <c r="A4" s="16" t="s">
        <v>24</v>
      </c>
      <c r="B4" s="17" t="s">
        <v>25</v>
      </c>
      <c r="C4" s="18"/>
      <c r="D4" s="18"/>
      <c r="E4" s="18"/>
      <c r="F4" s="18"/>
      <c r="G4" s="18"/>
      <c r="H4" s="18"/>
      <c r="I4" s="18"/>
      <c r="J4" s="18"/>
      <c r="K4" s="18"/>
      <c r="L4" s="18"/>
      <c r="M4" s="18"/>
      <c r="N4" s="18"/>
      <c r="O4" s="18"/>
      <c r="P4" s="18"/>
    </row>
    <row r="5" spans="1:16" ht="72" x14ac:dyDescent="0.25">
      <c r="A5" s="19" t="s">
        <v>26</v>
      </c>
      <c r="B5" s="20" t="s">
        <v>27</v>
      </c>
      <c r="C5" s="21"/>
      <c r="D5" s="21"/>
      <c r="E5" s="21"/>
      <c r="F5" s="21"/>
      <c r="G5" s="21"/>
      <c r="H5" s="21"/>
      <c r="I5" s="21"/>
      <c r="J5" s="21"/>
      <c r="K5" s="21"/>
      <c r="L5" s="21"/>
      <c r="M5" s="21"/>
      <c r="N5" s="21"/>
      <c r="O5" s="21"/>
      <c r="P5" s="21"/>
    </row>
    <row r="6" spans="1:16" ht="24" x14ac:dyDescent="0.25">
      <c r="A6" s="22" t="s">
        <v>28</v>
      </c>
      <c r="B6" s="23" t="s">
        <v>29</v>
      </c>
      <c r="C6" s="24" t="s">
        <v>30</v>
      </c>
      <c r="D6" s="25"/>
      <c r="E6" s="25"/>
      <c r="F6" s="26"/>
      <c r="G6" s="26"/>
      <c r="H6" s="26"/>
      <c r="I6" s="26"/>
      <c r="J6" s="26"/>
      <c r="K6" s="27" t="str">
        <f>IF(COUNTA(F6:J6)=5,SUM(F6:J6),"")</f>
        <v/>
      </c>
      <c r="L6" s="27" t="str">
        <f>IF(K6="","",IF(K6&lt;=2,"1 - Ad Hoc",IF(K6&lt;=5,"2 - Defined",IF(K6&lt;=7,"3 - Consistently Implemented",IF(K6&lt;=9,"4 - Managed and Measurable","5 - Optimized")))))</f>
        <v/>
      </c>
      <c r="M6" s="28"/>
      <c r="N6" s="29" t="str">
        <f>IF(OR(L6="",M6=""),"",IF(VALUE(LEFT(L6,1))&lt;VALUE(LEFT(M6,1)),"GAP","OK"))</f>
        <v/>
      </c>
      <c r="O6" s="30"/>
      <c r="P6" s="30"/>
    </row>
    <row r="7" spans="1:16" ht="48" x14ac:dyDescent="0.25">
      <c r="A7" s="31" t="s">
        <v>31</v>
      </c>
      <c r="B7" s="32" t="s">
        <v>32</v>
      </c>
      <c r="C7" s="24" t="s">
        <v>30</v>
      </c>
      <c r="D7" s="25"/>
      <c r="E7" s="25"/>
      <c r="F7" s="26"/>
      <c r="G7" s="26"/>
      <c r="H7" s="26"/>
      <c r="I7" s="26"/>
      <c r="J7" s="26"/>
      <c r="K7" s="27" t="str">
        <f>IF(COUNTA(F7:J7)=5,SUM(F7:J7),"")</f>
        <v/>
      </c>
      <c r="L7" s="27" t="str">
        <f>IF(K7="","",IF(K7&lt;=2,"1 - Ad Hoc",IF(K7&lt;=5,"2 - Defined",IF(K7&lt;=7,"3 - Consistently Implemented",IF(K7&lt;=9,"4 - Managed and Measurable","5 - Optimized")))))</f>
        <v/>
      </c>
      <c r="M7" s="28"/>
      <c r="N7" s="29" t="str">
        <f>IF(OR(L7="",M7=""),"",IF(VALUE(LEFT(L7,1))&lt;VALUE(LEFT(M7,1)),"GAP","OK"))</f>
        <v/>
      </c>
      <c r="O7" s="30"/>
      <c r="P7" s="30"/>
    </row>
    <row r="8" spans="1:16" ht="48" x14ac:dyDescent="0.25">
      <c r="A8" s="22" t="s">
        <v>33</v>
      </c>
      <c r="B8" s="23" t="s">
        <v>34</v>
      </c>
      <c r="C8" s="24" t="s">
        <v>30</v>
      </c>
      <c r="D8" s="25"/>
      <c r="E8" s="25"/>
      <c r="F8" s="26"/>
      <c r="G8" s="26"/>
      <c r="H8" s="26"/>
      <c r="I8" s="26"/>
      <c r="J8" s="26"/>
      <c r="K8" s="27" t="str">
        <f>IF(COUNTA(F8:J8)=5,SUM(F8:J8),"")</f>
        <v/>
      </c>
      <c r="L8" s="27" t="str">
        <f>IF(K8="","",IF(K8&lt;=2,"1 - Ad Hoc",IF(K8&lt;=5,"2 - Defined",IF(K8&lt;=7,"3 - Consistently Implemented",IF(K8&lt;=9,"4 - Managed and Measurable","5 - Optimized")))))</f>
        <v/>
      </c>
      <c r="M8" s="28"/>
      <c r="N8" s="29" t="str">
        <f>IF(OR(L8="",M8=""),"",IF(VALUE(LEFT(L8,1))&lt;VALUE(LEFT(M8,1)),"GAP","OK"))</f>
        <v/>
      </c>
      <c r="O8" s="30"/>
      <c r="P8" s="30"/>
    </row>
    <row r="9" spans="1:16" ht="48" x14ac:dyDescent="0.25">
      <c r="A9" s="31" t="s">
        <v>35</v>
      </c>
      <c r="B9" s="32" t="s">
        <v>36</v>
      </c>
      <c r="C9" s="24" t="s">
        <v>30</v>
      </c>
      <c r="D9" s="25"/>
      <c r="E9" s="25"/>
      <c r="F9" s="26"/>
      <c r="G9" s="26"/>
      <c r="H9" s="26"/>
      <c r="I9" s="26"/>
      <c r="J9" s="26"/>
      <c r="K9" s="27" t="str">
        <f>IF(COUNTA(F9:J9)=5,SUM(F9:J9),"")</f>
        <v/>
      </c>
      <c r="L9" s="27" t="str">
        <f>IF(K9="","",IF(K9&lt;=2,"1 - Ad Hoc",IF(K9&lt;=5,"2 - Defined",IF(K9&lt;=7,"3 - Consistently Implemented",IF(K9&lt;=9,"4 - Managed and Measurable","5 - Optimized")))))</f>
        <v/>
      </c>
      <c r="M9" s="28"/>
      <c r="N9" s="29" t="str">
        <f>IF(OR(L9="",M9=""),"",IF(VALUE(LEFT(L9,1))&lt;VALUE(LEFT(M9,1)),"GAP","OK"))</f>
        <v/>
      </c>
      <c r="O9" s="30"/>
      <c r="P9" s="30"/>
    </row>
    <row r="10" spans="1:16" ht="36" x14ac:dyDescent="0.25">
      <c r="A10" s="22" t="s">
        <v>37</v>
      </c>
      <c r="B10" s="23" t="s">
        <v>38</v>
      </c>
      <c r="C10" s="24" t="s">
        <v>30</v>
      </c>
      <c r="D10" s="25"/>
      <c r="E10" s="25"/>
      <c r="F10" s="26"/>
      <c r="G10" s="26"/>
      <c r="H10" s="26"/>
      <c r="I10" s="26"/>
      <c r="J10" s="26"/>
      <c r="K10" s="27" t="str">
        <f>IF(COUNTA(F10:J10)=5,SUM(F10:J10),"")</f>
        <v/>
      </c>
      <c r="L10" s="27" t="str">
        <f>IF(K10="","",IF(K10&lt;=2,"1 - Ad Hoc",IF(K10&lt;=5,"2 - Defined",IF(K10&lt;=7,"3 - Consistently Implemented",IF(K10&lt;=9,"4 - Managed and Measurable","5 - Optimized")))))</f>
        <v/>
      </c>
      <c r="M10" s="28"/>
      <c r="N10" s="29" t="str">
        <f>IF(OR(L10="",M10=""),"",IF(VALUE(LEFT(L10,1))&lt;VALUE(LEFT(M10,1)),"GAP","OK"))</f>
        <v/>
      </c>
      <c r="O10" s="30"/>
      <c r="P10" s="30"/>
    </row>
    <row r="11" spans="1:16" ht="60" x14ac:dyDescent="0.25">
      <c r="A11" s="19" t="s">
        <v>39</v>
      </c>
      <c r="B11" s="20" t="s">
        <v>40</v>
      </c>
      <c r="C11" s="21"/>
      <c r="D11" s="21"/>
      <c r="E11" s="21"/>
      <c r="F11" s="21"/>
      <c r="G11" s="21"/>
      <c r="H11" s="21"/>
      <c r="I11" s="21"/>
      <c r="J11" s="21"/>
      <c r="K11" s="21"/>
      <c r="L11" s="21"/>
      <c r="M11" s="21"/>
      <c r="N11" s="21"/>
      <c r="O11" s="21"/>
      <c r="P11" s="21"/>
    </row>
    <row r="12" spans="1:16" ht="24" x14ac:dyDescent="0.25">
      <c r="A12" s="22" t="s">
        <v>41</v>
      </c>
      <c r="B12" s="23" t="s">
        <v>42</v>
      </c>
      <c r="C12" s="24" t="s">
        <v>30</v>
      </c>
      <c r="D12" s="25"/>
      <c r="E12" s="25"/>
      <c r="F12" s="26"/>
      <c r="G12" s="26"/>
      <c r="H12" s="26"/>
      <c r="I12" s="26"/>
      <c r="J12" s="26"/>
      <c r="K12" s="27" t="str">
        <f t="shared" ref="K12:K18" si="0">IF(COUNTA(F12:J12)=5,SUM(F12:J12),"")</f>
        <v/>
      </c>
      <c r="L12" s="27" t="str">
        <f t="shared" ref="L12:L18" si="1">IF(K12="","",IF(K12&lt;=2,"1 - Ad Hoc",IF(K12&lt;=5,"2 - Defined",IF(K12&lt;=7,"3 - Consistently Implemented",IF(K12&lt;=9,"4 - Managed and Measurable","5 - Optimized")))))</f>
        <v/>
      </c>
      <c r="M12" s="28"/>
      <c r="N12" s="29" t="str">
        <f t="shared" ref="N12:N18" si="2">IF(OR(L12="",M12=""),"",IF(VALUE(LEFT(L12,1))&lt;VALUE(LEFT(M12,1)),"GAP","OK"))</f>
        <v/>
      </c>
      <c r="O12" s="30"/>
      <c r="P12" s="30"/>
    </row>
    <row r="13" spans="1:16" ht="36" x14ac:dyDescent="0.25">
      <c r="A13" s="31" t="s">
        <v>43</v>
      </c>
      <c r="B13" s="32" t="s">
        <v>44</v>
      </c>
      <c r="C13" s="24" t="s">
        <v>30</v>
      </c>
      <c r="D13" s="25"/>
      <c r="E13" s="25"/>
      <c r="F13" s="26"/>
      <c r="G13" s="26"/>
      <c r="H13" s="26"/>
      <c r="I13" s="26"/>
      <c r="J13" s="26"/>
      <c r="K13" s="27" t="str">
        <f t="shared" si="0"/>
        <v/>
      </c>
      <c r="L13" s="27" t="str">
        <f t="shared" si="1"/>
        <v/>
      </c>
      <c r="M13" s="28"/>
      <c r="N13" s="29" t="str">
        <f t="shared" si="2"/>
        <v/>
      </c>
      <c r="O13" s="30"/>
      <c r="P13" s="30"/>
    </row>
    <row r="14" spans="1:16" ht="36" x14ac:dyDescent="0.25">
      <c r="A14" s="22" t="s">
        <v>45</v>
      </c>
      <c r="B14" s="23" t="s">
        <v>46</v>
      </c>
      <c r="C14" s="24" t="s">
        <v>30</v>
      </c>
      <c r="D14" s="25"/>
      <c r="E14" s="25"/>
      <c r="F14" s="26"/>
      <c r="G14" s="26"/>
      <c r="H14" s="26"/>
      <c r="I14" s="26"/>
      <c r="J14" s="26"/>
      <c r="K14" s="27" t="str">
        <f t="shared" si="0"/>
        <v/>
      </c>
      <c r="L14" s="27" t="str">
        <f t="shared" si="1"/>
        <v/>
      </c>
      <c r="M14" s="28"/>
      <c r="N14" s="29" t="str">
        <f t="shared" si="2"/>
        <v/>
      </c>
      <c r="O14" s="30"/>
      <c r="P14" s="30"/>
    </row>
    <row r="15" spans="1:16" ht="36" x14ac:dyDescent="0.25">
      <c r="A15" s="31" t="s">
        <v>47</v>
      </c>
      <c r="B15" s="32" t="s">
        <v>48</v>
      </c>
      <c r="C15" s="24" t="s">
        <v>30</v>
      </c>
      <c r="D15" s="25"/>
      <c r="E15" s="25"/>
      <c r="F15" s="26"/>
      <c r="G15" s="26"/>
      <c r="H15" s="26"/>
      <c r="I15" s="26"/>
      <c r="J15" s="26"/>
      <c r="K15" s="27" t="str">
        <f t="shared" si="0"/>
        <v/>
      </c>
      <c r="L15" s="27" t="str">
        <f t="shared" si="1"/>
        <v/>
      </c>
      <c r="M15" s="28"/>
      <c r="N15" s="29" t="str">
        <f t="shared" si="2"/>
        <v/>
      </c>
      <c r="O15" s="30"/>
      <c r="P15" s="30"/>
    </row>
    <row r="16" spans="1:16" ht="48" x14ac:dyDescent="0.25">
      <c r="A16" s="22" t="s">
        <v>49</v>
      </c>
      <c r="B16" s="23" t="s">
        <v>50</v>
      </c>
      <c r="C16" s="24" t="s">
        <v>30</v>
      </c>
      <c r="D16" s="25"/>
      <c r="E16" s="25"/>
      <c r="F16" s="26"/>
      <c r="G16" s="26"/>
      <c r="H16" s="26"/>
      <c r="I16" s="26"/>
      <c r="J16" s="26"/>
      <c r="K16" s="27" t="str">
        <f t="shared" si="0"/>
        <v/>
      </c>
      <c r="L16" s="27" t="str">
        <f t="shared" si="1"/>
        <v/>
      </c>
      <c r="M16" s="28"/>
      <c r="N16" s="29" t="str">
        <f t="shared" si="2"/>
        <v/>
      </c>
      <c r="O16" s="30"/>
      <c r="P16" s="30"/>
    </row>
    <row r="17" spans="1:16" ht="48" x14ac:dyDescent="0.25">
      <c r="A17" s="31" t="s">
        <v>51</v>
      </c>
      <c r="B17" s="32" t="s">
        <v>52</v>
      </c>
      <c r="C17" s="24" t="s">
        <v>30</v>
      </c>
      <c r="D17" s="25"/>
      <c r="E17" s="25"/>
      <c r="F17" s="26"/>
      <c r="G17" s="26"/>
      <c r="H17" s="26"/>
      <c r="I17" s="26"/>
      <c r="J17" s="26"/>
      <c r="K17" s="27" t="str">
        <f t="shared" si="0"/>
        <v/>
      </c>
      <c r="L17" s="27" t="str">
        <f t="shared" si="1"/>
        <v/>
      </c>
      <c r="M17" s="28"/>
      <c r="N17" s="29" t="str">
        <f t="shared" si="2"/>
        <v/>
      </c>
      <c r="O17" s="30"/>
      <c r="P17" s="30"/>
    </row>
    <row r="18" spans="1:16" ht="36" x14ac:dyDescent="0.25">
      <c r="A18" s="22" t="s">
        <v>53</v>
      </c>
      <c r="B18" s="23" t="s">
        <v>54</v>
      </c>
      <c r="C18" s="24" t="s">
        <v>30</v>
      </c>
      <c r="D18" s="25"/>
      <c r="E18" s="25"/>
      <c r="F18" s="26"/>
      <c r="G18" s="26"/>
      <c r="H18" s="26"/>
      <c r="I18" s="26"/>
      <c r="J18" s="26"/>
      <c r="K18" s="27" t="str">
        <f t="shared" si="0"/>
        <v/>
      </c>
      <c r="L18" s="27" t="str">
        <f t="shared" si="1"/>
        <v/>
      </c>
      <c r="M18" s="28"/>
      <c r="N18" s="29" t="str">
        <f t="shared" si="2"/>
        <v/>
      </c>
      <c r="O18" s="30"/>
      <c r="P18" s="30"/>
    </row>
    <row r="19" spans="1:16" ht="60" x14ac:dyDescent="0.25">
      <c r="A19" s="19" t="s">
        <v>55</v>
      </c>
      <c r="B19" s="20" t="s">
        <v>56</v>
      </c>
      <c r="C19" s="21"/>
      <c r="D19" s="21"/>
      <c r="E19" s="21"/>
      <c r="F19" s="21"/>
      <c r="G19" s="21"/>
      <c r="H19" s="21"/>
      <c r="I19" s="21"/>
      <c r="J19" s="21"/>
      <c r="K19" s="21"/>
      <c r="L19" s="21"/>
      <c r="M19" s="21"/>
      <c r="N19" s="21"/>
      <c r="O19" s="21"/>
      <c r="P19" s="21"/>
    </row>
    <row r="20" spans="1:16" ht="48" x14ac:dyDescent="0.25">
      <c r="A20" s="22" t="s">
        <v>57</v>
      </c>
      <c r="B20" s="23" t="s">
        <v>58</v>
      </c>
      <c r="C20" s="24" t="s">
        <v>30</v>
      </c>
      <c r="D20" s="25"/>
      <c r="E20" s="25"/>
      <c r="F20" s="26"/>
      <c r="G20" s="26"/>
      <c r="H20" s="26"/>
      <c r="I20" s="26"/>
      <c r="J20" s="26"/>
      <c r="K20" s="27" t="str">
        <f>IF(COUNTA(F20:J20)=5,SUM(F20:J20),"")</f>
        <v/>
      </c>
      <c r="L20" s="27" t="str">
        <f>IF(K20="","",IF(K20&lt;=2,"1 - Ad Hoc",IF(K20&lt;=5,"2 - Defined",IF(K20&lt;=7,"3 - Consistently Implemented",IF(K20&lt;=9,"4 - Managed and Measurable","5 - Optimized")))))</f>
        <v/>
      </c>
      <c r="M20" s="28"/>
      <c r="N20" s="29" t="str">
        <f>IF(OR(L20="",M20=""),"",IF(VALUE(LEFT(L20,1))&lt;VALUE(LEFT(M20,1)),"GAP","OK"))</f>
        <v/>
      </c>
      <c r="O20" s="30"/>
      <c r="P20" s="30"/>
    </row>
    <row r="21" spans="1:16" ht="48" x14ac:dyDescent="0.25">
      <c r="A21" s="31" t="s">
        <v>59</v>
      </c>
      <c r="B21" s="32" t="s">
        <v>60</v>
      </c>
      <c r="C21" s="24" t="s">
        <v>30</v>
      </c>
      <c r="D21" s="25"/>
      <c r="E21" s="25"/>
      <c r="F21" s="26"/>
      <c r="G21" s="26"/>
      <c r="H21" s="26"/>
      <c r="I21" s="26"/>
      <c r="J21" s="26"/>
      <c r="K21" s="27" t="str">
        <f>IF(COUNTA(F21:J21)=5,SUM(F21:J21),"")</f>
        <v/>
      </c>
      <c r="L21" s="27" t="str">
        <f>IF(K21="","",IF(K21&lt;=2,"1 - Ad Hoc",IF(K21&lt;=5,"2 - Defined",IF(K21&lt;=7,"3 - Consistently Implemented",IF(K21&lt;=9,"4 - Managed and Measurable","5 - Optimized")))))</f>
        <v/>
      </c>
      <c r="M21" s="28"/>
      <c r="N21" s="29" t="str">
        <f>IF(OR(L21="",M21=""),"",IF(VALUE(LEFT(L21,1))&lt;VALUE(LEFT(M21,1)),"GAP","OK"))</f>
        <v/>
      </c>
      <c r="O21" s="30"/>
      <c r="P21" s="30"/>
    </row>
    <row r="22" spans="1:16" ht="36" x14ac:dyDescent="0.25">
      <c r="A22" s="22" t="s">
        <v>61</v>
      </c>
      <c r="B22" s="23" t="s">
        <v>62</v>
      </c>
      <c r="C22" s="24" t="s">
        <v>30</v>
      </c>
      <c r="D22" s="25"/>
      <c r="E22" s="25"/>
      <c r="F22" s="26"/>
      <c r="G22" s="26"/>
      <c r="H22" s="26"/>
      <c r="I22" s="26"/>
      <c r="J22" s="26"/>
      <c r="K22" s="27" t="str">
        <f>IF(COUNTA(F22:J22)=5,SUM(F22:J22),"")</f>
        <v/>
      </c>
      <c r="L22" s="27" t="str">
        <f>IF(K22="","",IF(K22&lt;=2,"1 - Ad Hoc",IF(K22&lt;=5,"2 - Defined",IF(K22&lt;=7,"3 - Consistently Implemented",IF(K22&lt;=9,"4 - Managed and Measurable","5 - Optimized")))))</f>
        <v/>
      </c>
      <c r="M22" s="28"/>
      <c r="N22" s="29" t="str">
        <f>IF(OR(L22="",M22=""),"",IF(VALUE(LEFT(L22,1))&lt;VALUE(LEFT(M22,1)),"GAP","OK"))</f>
        <v/>
      </c>
      <c r="O22" s="30"/>
      <c r="P22" s="30"/>
    </row>
    <row r="23" spans="1:16" ht="24" x14ac:dyDescent="0.25">
      <c r="A23" s="31" t="s">
        <v>63</v>
      </c>
      <c r="B23" s="32" t="s">
        <v>64</v>
      </c>
      <c r="C23" s="24" t="s">
        <v>30</v>
      </c>
      <c r="D23" s="25"/>
      <c r="E23" s="25"/>
      <c r="F23" s="26"/>
      <c r="G23" s="26"/>
      <c r="H23" s="26"/>
      <c r="I23" s="26"/>
      <c r="J23" s="26"/>
      <c r="K23" s="27" t="str">
        <f>IF(COUNTA(F23:J23)=5,SUM(F23:J23),"")</f>
        <v/>
      </c>
      <c r="L23" s="27" t="str">
        <f>IF(K23="","",IF(K23&lt;=2,"1 - Ad Hoc",IF(K23&lt;=5,"2 - Defined",IF(K23&lt;=7,"3 - Consistently Implemented",IF(K23&lt;=9,"4 - Managed and Measurable","5 - Optimized")))))</f>
        <v/>
      </c>
      <c r="M23" s="28"/>
      <c r="N23" s="29" t="str">
        <f>IF(OR(L23="",M23=""),"",IF(VALUE(LEFT(L23,1))&lt;VALUE(LEFT(M23,1)),"GAP","OK"))</f>
        <v/>
      </c>
      <c r="O23" s="30"/>
      <c r="P23" s="30"/>
    </row>
    <row r="24" spans="1:16" ht="24" x14ac:dyDescent="0.25">
      <c r="A24" s="19" t="s">
        <v>65</v>
      </c>
      <c r="B24" s="20" t="s">
        <v>66</v>
      </c>
      <c r="C24" s="21"/>
      <c r="D24" s="21"/>
      <c r="E24" s="21"/>
      <c r="F24" s="21"/>
      <c r="G24" s="21"/>
      <c r="H24" s="21"/>
      <c r="I24" s="21"/>
      <c r="J24" s="21"/>
      <c r="K24" s="21"/>
      <c r="L24" s="21"/>
      <c r="M24" s="21"/>
      <c r="N24" s="21"/>
      <c r="O24" s="21"/>
      <c r="P24" s="21"/>
    </row>
    <row r="25" spans="1:16" ht="48" x14ac:dyDescent="0.25">
      <c r="A25" s="22" t="s">
        <v>67</v>
      </c>
      <c r="B25" s="23" t="s">
        <v>68</v>
      </c>
      <c r="C25" s="24" t="s">
        <v>30</v>
      </c>
      <c r="D25" s="25"/>
      <c r="E25" s="25"/>
      <c r="F25" s="26"/>
      <c r="G25" s="26"/>
      <c r="H25" s="26"/>
      <c r="I25" s="26"/>
      <c r="J25" s="26"/>
      <c r="K25" s="27" t="str">
        <f>IF(COUNTA(F25:J25)=5,SUM(F25:J25),"")</f>
        <v/>
      </c>
      <c r="L25" s="27" t="str">
        <f>IF(K25="","",IF(K25&lt;=2,"1 - Ad Hoc",IF(K25&lt;=5,"2 - Defined",IF(K25&lt;=7,"3 - Consistently Implemented",IF(K25&lt;=9,"4 - Managed and Measurable","5 - Optimized")))))</f>
        <v/>
      </c>
      <c r="M25" s="28"/>
      <c r="N25" s="29" t="str">
        <f>IF(OR(L25="",M25=""),"",IF(VALUE(LEFT(L25,1))&lt;VALUE(LEFT(M25,1)),"GAP","OK"))</f>
        <v/>
      </c>
      <c r="O25" s="30"/>
      <c r="P25" s="30"/>
    </row>
    <row r="26" spans="1:16" ht="60" x14ac:dyDescent="0.25">
      <c r="A26" s="31" t="s">
        <v>69</v>
      </c>
      <c r="B26" s="32" t="s">
        <v>70</v>
      </c>
      <c r="C26" s="24" t="s">
        <v>30</v>
      </c>
      <c r="D26" s="25"/>
      <c r="E26" s="25"/>
      <c r="F26" s="26"/>
      <c r="G26" s="26"/>
      <c r="H26" s="26"/>
      <c r="I26" s="26"/>
      <c r="J26" s="26"/>
      <c r="K26" s="27" t="str">
        <f>IF(COUNTA(F26:J26)=5,SUM(F26:J26),"")</f>
        <v/>
      </c>
      <c r="L26" s="27" t="str">
        <f>IF(K26="","",IF(K26&lt;=2,"1 - Ad Hoc",IF(K26&lt;=5,"2 - Defined",IF(K26&lt;=7,"3 - Consistently Implemented",IF(K26&lt;=9,"4 - Managed and Measurable","5 - Optimized")))))</f>
        <v/>
      </c>
      <c r="M26" s="28"/>
      <c r="N26" s="29" t="str">
        <f>IF(OR(L26="",M26=""),"",IF(VALUE(LEFT(L26,1))&lt;VALUE(LEFT(M26,1)),"GAP","OK"))</f>
        <v/>
      </c>
      <c r="O26" s="30"/>
      <c r="P26" s="30"/>
    </row>
    <row r="27" spans="1:16" ht="48" x14ac:dyDescent="0.25">
      <c r="A27" s="19" t="s">
        <v>71</v>
      </c>
      <c r="B27" s="20" t="s">
        <v>72</v>
      </c>
      <c r="C27" s="21"/>
      <c r="D27" s="21"/>
      <c r="E27" s="21"/>
      <c r="F27" s="21"/>
      <c r="G27" s="21"/>
      <c r="H27" s="21"/>
      <c r="I27" s="21"/>
      <c r="J27" s="21"/>
      <c r="K27" s="21"/>
      <c r="L27" s="21"/>
      <c r="M27" s="21"/>
      <c r="N27" s="21"/>
      <c r="O27" s="21"/>
      <c r="P27" s="21"/>
    </row>
    <row r="28" spans="1:16" ht="36" x14ac:dyDescent="0.25">
      <c r="A28" s="22" t="s">
        <v>73</v>
      </c>
      <c r="B28" s="23" t="s">
        <v>74</v>
      </c>
      <c r="C28" s="24" t="s">
        <v>30</v>
      </c>
      <c r="D28" s="25"/>
      <c r="E28" s="25"/>
      <c r="F28" s="26"/>
      <c r="G28" s="26"/>
      <c r="H28" s="26"/>
      <c r="I28" s="26"/>
      <c r="J28" s="26"/>
      <c r="K28" s="27" t="str">
        <f>IF(COUNTA(F28:J28)=5,SUM(F28:J28),"")</f>
        <v/>
      </c>
      <c r="L28" s="27" t="str">
        <f>IF(K28="","",IF(K28&lt;=2,"1 - Ad Hoc",IF(K28&lt;=5,"2 - Defined",IF(K28&lt;=7,"3 - Consistently Implemented",IF(K28&lt;=9,"4 - Managed and Measurable","5 - Optimized")))))</f>
        <v/>
      </c>
      <c r="M28" s="28"/>
      <c r="N28" s="29" t="str">
        <f>IF(OR(L28="",M28=""),"",IF(VALUE(LEFT(L28,1))&lt;VALUE(LEFT(M28,1)),"GAP","OK"))</f>
        <v/>
      </c>
      <c r="O28" s="30"/>
      <c r="P28" s="30"/>
    </row>
    <row r="29" spans="1:16" ht="36" x14ac:dyDescent="0.25">
      <c r="A29" s="31" t="s">
        <v>75</v>
      </c>
      <c r="B29" s="32" t="s">
        <v>76</v>
      </c>
      <c r="C29" s="24" t="s">
        <v>30</v>
      </c>
      <c r="D29" s="25"/>
      <c r="E29" s="25"/>
      <c r="F29" s="26"/>
      <c r="G29" s="26"/>
      <c r="H29" s="26"/>
      <c r="I29" s="26"/>
      <c r="J29" s="26"/>
      <c r="K29" s="27" t="str">
        <f>IF(COUNTA(F29:J29)=5,SUM(F29:J29),"")</f>
        <v/>
      </c>
      <c r="L29" s="27" t="str">
        <f>IF(K29="","",IF(K29&lt;=2,"1 - Ad Hoc",IF(K29&lt;=5,"2 - Defined",IF(K29&lt;=7,"3 - Consistently Implemented",IF(K29&lt;=9,"4 - Managed and Measurable","5 - Optimized")))))</f>
        <v/>
      </c>
      <c r="M29" s="28"/>
      <c r="N29" s="29" t="str">
        <f>IF(OR(L29="",M29=""),"",IF(VALUE(LEFT(L29,1))&lt;VALUE(LEFT(M29,1)),"GAP","OK"))</f>
        <v/>
      </c>
      <c r="O29" s="30"/>
      <c r="P29" s="30"/>
    </row>
    <row r="30" spans="1:16" ht="36" x14ac:dyDescent="0.25">
      <c r="A30" s="22" t="s">
        <v>77</v>
      </c>
      <c r="B30" s="23" t="s">
        <v>78</v>
      </c>
      <c r="C30" s="24" t="s">
        <v>30</v>
      </c>
      <c r="D30" s="25"/>
      <c r="E30" s="25"/>
      <c r="F30" s="26"/>
      <c r="G30" s="26"/>
      <c r="H30" s="26"/>
      <c r="I30" s="26"/>
      <c r="J30" s="26"/>
      <c r="K30" s="27" t="str">
        <f>IF(COUNTA(F30:J30)=5,SUM(F30:J30),"")</f>
        <v/>
      </c>
      <c r="L30" s="27" t="str">
        <f>IF(K30="","",IF(K30&lt;=2,"1 - Ad Hoc",IF(K30&lt;=5,"2 - Defined",IF(K30&lt;=7,"3 - Consistently Implemented",IF(K30&lt;=9,"4 - Managed and Measurable","5 - Optimized")))))</f>
        <v/>
      </c>
      <c r="M30" s="28"/>
      <c r="N30" s="29" t="str">
        <f>IF(OR(L30="",M30=""),"",IF(VALUE(LEFT(L30,1))&lt;VALUE(LEFT(M30,1)),"GAP","OK"))</f>
        <v/>
      </c>
      <c r="O30" s="30"/>
      <c r="P30" s="30"/>
    </row>
    <row r="31" spans="1:16" ht="48" x14ac:dyDescent="0.25">
      <c r="A31" s="19" t="s">
        <v>79</v>
      </c>
      <c r="B31" s="20" t="s">
        <v>80</v>
      </c>
      <c r="C31" s="21"/>
      <c r="D31" s="21"/>
      <c r="E31" s="21"/>
      <c r="F31" s="21"/>
      <c r="G31" s="21"/>
      <c r="H31" s="21"/>
      <c r="I31" s="21"/>
      <c r="J31" s="21"/>
      <c r="K31" s="21"/>
      <c r="L31" s="21"/>
      <c r="M31" s="21"/>
      <c r="N31" s="21"/>
      <c r="O31" s="21"/>
      <c r="P31" s="21"/>
    </row>
    <row r="32" spans="1:16" ht="48" x14ac:dyDescent="0.25">
      <c r="A32" s="22" t="s">
        <v>81</v>
      </c>
      <c r="B32" s="23" t="s">
        <v>82</v>
      </c>
      <c r="C32" s="24" t="s">
        <v>30</v>
      </c>
      <c r="D32" s="25"/>
      <c r="E32" s="25"/>
      <c r="F32" s="26"/>
      <c r="G32" s="26"/>
      <c r="H32" s="26"/>
      <c r="I32" s="26"/>
      <c r="J32" s="26"/>
      <c r="K32" s="27" t="str">
        <f t="shared" ref="K32:K41" si="3">IF(COUNTA(F32:J32)=5,SUM(F32:J32),"")</f>
        <v/>
      </c>
      <c r="L32" s="27" t="str">
        <f t="shared" ref="L32:L41" si="4">IF(K32="","",IF(K32&lt;=2,"1 - Ad Hoc",IF(K32&lt;=5,"2 - Defined",IF(K32&lt;=7,"3 - Consistently Implemented",IF(K32&lt;=9,"4 - Managed and Measurable","5 - Optimized")))))</f>
        <v/>
      </c>
      <c r="M32" s="28"/>
      <c r="N32" s="29" t="str">
        <f t="shared" ref="N32:N41" si="5">IF(OR(L32="",M32=""),"",IF(VALUE(LEFT(L32,1))&lt;VALUE(LEFT(M32,1)),"GAP","OK"))</f>
        <v/>
      </c>
      <c r="O32" s="30"/>
      <c r="P32" s="30"/>
    </row>
    <row r="33" spans="1:16" ht="48" x14ac:dyDescent="0.25">
      <c r="A33" s="31" t="s">
        <v>83</v>
      </c>
      <c r="B33" s="32" t="s">
        <v>84</v>
      </c>
      <c r="C33" s="24" t="s">
        <v>30</v>
      </c>
      <c r="D33" s="25"/>
      <c r="E33" s="25"/>
      <c r="F33" s="26"/>
      <c r="G33" s="26"/>
      <c r="H33" s="26"/>
      <c r="I33" s="26"/>
      <c r="J33" s="26"/>
      <c r="K33" s="27" t="str">
        <f t="shared" si="3"/>
        <v/>
      </c>
      <c r="L33" s="27" t="str">
        <f t="shared" si="4"/>
        <v/>
      </c>
      <c r="M33" s="28"/>
      <c r="N33" s="29" t="str">
        <f t="shared" si="5"/>
        <v/>
      </c>
      <c r="O33" s="30"/>
      <c r="P33" s="30"/>
    </row>
    <row r="34" spans="1:16" ht="48" x14ac:dyDescent="0.25">
      <c r="A34" s="22" t="s">
        <v>85</v>
      </c>
      <c r="B34" s="23" t="s">
        <v>86</v>
      </c>
      <c r="C34" s="24" t="s">
        <v>30</v>
      </c>
      <c r="D34" s="25"/>
      <c r="E34" s="25"/>
      <c r="F34" s="26"/>
      <c r="G34" s="26"/>
      <c r="H34" s="26"/>
      <c r="I34" s="26"/>
      <c r="J34" s="26"/>
      <c r="K34" s="27" t="str">
        <f t="shared" si="3"/>
        <v/>
      </c>
      <c r="L34" s="27" t="str">
        <f t="shared" si="4"/>
        <v/>
      </c>
      <c r="M34" s="28"/>
      <c r="N34" s="29" t="str">
        <f t="shared" si="5"/>
        <v/>
      </c>
      <c r="O34" s="30"/>
      <c r="P34" s="30"/>
    </row>
    <row r="35" spans="1:16" ht="24" x14ac:dyDescent="0.25">
      <c r="A35" s="31" t="s">
        <v>87</v>
      </c>
      <c r="B35" s="32" t="s">
        <v>88</v>
      </c>
      <c r="C35" s="24" t="s">
        <v>30</v>
      </c>
      <c r="D35" s="25"/>
      <c r="E35" s="25"/>
      <c r="F35" s="26"/>
      <c r="G35" s="26"/>
      <c r="H35" s="26"/>
      <c r="I35" s="26"/>
      <c r="J35" s="26"/>
      <c r="K35" s="27" t="str">
        <f t="shared" si="3"/>
        <v/>
      </c>
      <c r="L35" s="27" t="str">
        <f t="shared" si="4"/>
        <v/>
      </c>
      <c r="M35" s="28"/>
      <c r="N35" s="29" t="str">
        <f t="shared" si="5"/>
        <v/>
      </c>
      <c r="O35" s="30"/>
      <c r="P35" s="30"/>
    </row>
    <row r="36" spans="1:16" ht="60" x14ac:dyDescent="0.25">
      <c r="A36" s="22" t="s">
        <v>89</v>
      </c>
      <c r="B36" s="23" t="s">
        <v>90</v>
      </c>
      <c r="C36" s="24" t="s">
        <v>30</v>
      </c>
      <c r="D36" s="25"/>
      <c r="E36" s="25"/>
      <c r="F36" s="26"/>
      <c r="G36" s="26"/>
      <c r="H36" s="26"/>
      <c r="I36" s="26"/>
      <c r="J36" s="26"/>
      <c r="K36" s="27" t="str">
        <f t="shared" si="3"/>
        <v/>
      </c>
      <c r="L36" s="27" t="str">
        <f t="shared" si="4"/>
        <v/>
      </c>
      <c r="M36" s="28"/>
      <c r="N36" s="29" t="str">
        <f t="shared" si="5"/>
        <v/>
      </c>
      <c r="O36" s="30"/>
      <c r="P36" s="30"/>
    </row>
    <row r="37" spans="1:16" ht="36" x14ac:dyDescent="0.25">
      <c r="A37" s="31" t="s">
        <v>91</v>
      </c>
      <c r="B37" s="32" t="s">
        <v>92</v>
      </c>
      <c r="C37" s="24" t="s">
        <v>30</v>
      </c>
      <c r="D37" s="25"/>
      <c r="E37" s="25"/>
      <c r="F37" s="26"/>
      <c r="G37" s="26"/>
      <c r="H37" s="26"/>
      <c r="I37" s="26"/>
      <c r="J37" s="26"/>
      <c r="K37" s="27" t="str">
        <f t="shared" si="3"/>
        <v/>
      </c>
      <c r="L37" s="27" t="str">
        <f t="shared" si="4"/>
        <v/>
      </c>
      <c r="M37" s="28"/>
      <c r="N37" s="29" t="str">
        <f t="shared" si="5"/>
        <v/>
      </c>
      <c r="O37" s="30"/>
      <c r="P37" s="30"/>
    </row>
    <row r="38" spans="1:16" ht="60" x14ac:dyDescent="0.25">
      <c r="A38" s="22" t="s">
        <v>93</v>
      </c>
      <c r="B38" s="23" t="s">
        <v>94</v>
      </c>
      <c r="C38" s="24" t="s">
        <v>30</v>
      </c>
      <c r="D38" s="25"/>
      <c r="E38" s="25"/>
      <c r="F38" s="26"/>
      <c r="G38" s="26"/>
      <c r="H38" s="26"/>
      <c r="I38" s="26"/>
      <c r="J38" s="26"/>
      <c r="K38" s="27" t="str">
        <f t="shared" si="3"/>
        <v/>
      </c>
      <c r="L38" s="27" t="str">
        <f t="shared" si="4"/>
        <v/>
      </c>
      <c r="M38" s="28"/>
      <c r="N38" s="29" t="str">
        <f t="shared" si="5"/>
        <v/>
      </c>
      <c r="O38" s="30"/>
      <c r="P38" s="30"/>
    </row>
    <row r="39" spans="1:16" ht="36" x14ac:dyDescent="0.25">
      <c r="A39" s="31" t="s">
        <v>95</v>
      </c>
      <c r="B39" s="32" t="s">
        <v>96</v>
      </c>
      <c r="C39" s="24" t="s">
        <v>30</v>
      </c>
      <c r="D39" s="25"/>
      <c r="E39" s="25"/>
      <c r="F39" s="26"/>
      <c r="G39" s="26"/>
      <c r="H39" s="26"/>
      <c r="I39" s="26"/>
      <c r="J39" s="26"/>
      <c r="K39" s="27" t="str">
        <f t="shared" si="3"/>
        <v/>
      </c>
      <c r="L39" s="27" t="str">
        <f t="shared" si="4"/>
        <v/>
      </c>
      <c r="M39" s="28"/>
      <c r="N39" s="29" t="str">
        <f t="shared" si="5"/>
        <v/>
      </c>
      <c r="O39" s="30"/>
      <c r="P39" s="30"/>
    </row>
    <row r="40" spans="1:16" ht="60" x14ac:dyDescent="0.25">
      <c r="A40" s="22" t="s">
        <v>97</v>
      </c>
      <c r="B40" s="23" t="s">
        <v>98</v>
      </c>
      <c r="C40" s="24" t="s">
        <v>30</v>
      </c>
      <c r="D40" s="25"/>
      <c r="E40" s="25"/>
      <c r="F40" s="26"/>
      <c r="G40" s="26"/>
      <c r="H40" s="26"/>
      <c r="I40" s="26"/>
      <c r="J40" s="26"/>
      <c r="K40" s="27" t="str">
        <f t="shared" si="3"/>
        <v/>
      </c>
      <c r="L40" s="27" t="str">
        <f t="shared" si="4"/>
        <v/>
      </c>
      <c r="M40" s="28"/>
      <c r="N40" s="29" t="str">
        <f t="shared" si="5"/>
        <v/>
      </c>
      <c r="O40" s="30"/>
      <c r="P40" s="30"/>
    </row>
    <row r="41" spans="1:16" ht="48" x14ac:dyDescent="0.25">
      <c r="A41" s="31" t="s">
        <v>99</v>
      </c>
      <c r="B41" s="32" t="s">
        <v>100</v>
      </c>
      <c r="C41" s="24" t="s">
        <v>30</v>
      </c>
      <c r="D41" s="25"/>
      <c r="E41" s="25"/>
      <c r="F41" s="26"/>
      <c r="G41" s="26"/>
      <c r="H41" s="26"/>
      <c r="I41" s="26"/>
      <c r="J41" s="26"/>
      <c r="K41" s="27" t="str">
        <f t="shared" si="3"/>
        <v/>
      </c>
      <c r="L41" s="27" t="str">
        <f t="shared" si="4"/>
        <v/>
      </c>
      <c r="M41" s="28"/>
      <c r="N41" s="29" t="str">
        <f t="shared" si="5"/>
        <v/>
      </c>
      <c r="O41" s="30"/>
      <c r="P41" s="30"/>
    </row>
    <row r="42" spans="1:16" ht="25.5" x14ac:dyDescent="0.25">
      <c r="A42" s="16" t="s">
        <v>8</v>
      </c>
      <c r="B42" s="17" t="s">
        <v>101</v>
      </c>
      <c r="C42" s="18"/>
      <c r="D42" s="18"/>
      <c r="E42" s="18"/>
      <c r="F42" s="18"/>
      <c r="G42" s="18"/>
      <c r="H42" s="18"/>
      <c r="I42" s="18"/>
      <c r="J42" s="18"/>
      <c r="K42" s="18"/>
      <c r="L42" s="18"/>
      <c r="M42" s="18"/>
      <c r="N42" s="18"/>
      <c r="O42" s="18"/>
      <c r="P42" s="18"/>
    </row>
    <row r="43" spans="1:16" ht="84" x14ac:dyDescent="0.25">
      <c r="A43" s="19" t="s">
        <v>102</v>
      </c>
      <c r="B43" s="20" t="s">
        <v>103</v>
      </c>
      <c r="C43" s="21"/>
      <c r="D43" s="21"/>
      <c r="E43" s="21"/>
      <c r="F43" s="21"/>
      <c r="G43" s="21"/>
      <c r="H43" s="21"/>
      <c r="I43" s="21"/>
      <c r="J43" s="21"/>
      <c r="K43" s="21"/>
      <c r="L43" s="21"/>
      <c r="M43" s="21"/>
      <c r="N43" s="21"/>
      <c r="O43" s="21"/>
      <c r="P43" s="21"/>
    </row>
    <row r="44" spans="1:16" ht="24" x14ac:dyDescent="0.25">
      <c r="A44" s="22" t="s">
        <v>104</v>
      </c>
      <c r="B44" s="23" t="s">
        <v>105</v>
      </c>
      <c r="C44" s="24" t="s">
        <v>30</v>
      </c>
      <c r="D44" s="25"/>
      <c r="E44" s="25"/>
      <c r="F44" s="26"/>
      <c r="G44" s="26"/>
      <c r="H44" s="26"/>
      <c r="I44" s="26"/>
      <c r="J44" s="26"/>
      <c r="K44" s="27" t="str">
        <f t="shared" ref="K44:K50" si="6">IF(COUNTA(F44:J44)=5,SUM(F44:J44),"")</f>
        <v/>
      </c>
      <c r="L44" s="27" t="str">
        <f t="shared" ref="L44:L50" si="7">IF(K44="","",IF(K44&lt;=2,"1 - Ad Hoc",IF(K44&lt;=5,"2 - Defined",IF(K44&lt;=7,"3 - Consistently Implemented",IF(K44&lt;=9,"4 - Managed and Measurable","5 - Optimized")))))</f>
        <v/>
      </c>
      <c r="M44" s="28"/>
      <c r="N44" s="29" t="str">
        <f t="shared" ref="N44:N50" si="8">IF(OR(L44="",M44=""),"",IF(VALUE(LEFT(L44,1))&lt;VALUE(LEFT(M44,1)),"GAP","OK"))</f>
        <v/>
      </c>
      <c r="O44" s="30"/>
      <c r="P44" s="30"/>
    </row>
    <row r="45" spans="1:16" ht="24" x14ac:dyDescent="0.25">
      <c r="A45" s="31" t="s">
        <v>106</v>
      </c>
      <c r="B45" s="32" t="s">
        <v>107</v>
      </c>
      <c r="C45" s="24" t="s">
        <v>30</v>
      </c>
      <c r="D45" s="25"/>
      <c r="E45" s="25"/>
      <c r="F45" s="26"/>
      <c r="G45" s="26"/>
      <c r="H45" s="26"/>
      <c r="I45" s="26"/>
      <c r="J45" s="26"/>
      <c r="K45" s="27" t="str">
        <f t="shared" si="6"/>
        <v/>
      </c>
      <c r="L45" s="27" t="str">
        <f t="shared" si="7"/>
        <v/>
      </c>
      <c r="M45" s="28"/>
      <c r="N45" s="29" t="str">
        <f t="shared" si="8"/>
        <v/>
      </c>
      <c r="O45" s="30"/>
      <c r="P45" s="30"/>
    </row>
    <row r="46" spans="1:16" ht="48" x14ac:dyDescent="0.25">
      <c r="A46" s="22" t="s">
        <v>108</v>
      </c>
      <c r="B46" s="23" t="s">
        <v>109</v>
      </c>
      <c r="C46" s="24" t="s">
        <v>30</v>
      </c>
      <c r="D46" s="25"/>
      <c r="E46" s="25"/>
      <c r="F46" s="26"/>
      <c r="G46" s="26"/>
      <c r="H46" s="26"/>
      <c r="I46" s="26"/>
      <c r="J46" s="26"/>
      <c r="K46" s="27" t="str">
        <f t="shared" si="6"/>
        <v/>
      </c>
      <c r="L46" s="27" t="str">
        <f t="shared" si="7"/>
        <v/>
      </c>
      <c r="M46" s="28"/>
      <c r="N46" s="29" t="str">
        <f t="shared" si="8"/>
        <v/>
      </c>
      <c r="O46" s="30"/>
      <c r="P46" s="30"/>
    </row>
    <row r="47" spans="1:16" ht="24" x14ac:dyDescent="0.25">
      <c r="A47" s="31" t="s">
        <v>110</v>
      </c>
      <c r="B47" s="32" t="s">
        <v>111</v>
      </c>
      <c r="C47" s="24" t="s">
        <v>30</v>
      </c>
      <c r="D47" s="25"/>
      <c r="E47" s="25"/>
      <c r="F47" s="26"/>
      <c r="G47" s="26"/>
      <c r="H47" s="26"/>
      <c r="I47" s="26"/>
      <c r="J47" s="26"/>
      <c r="K47" s="27" t="str">
        <f t="shared" si="6"/>
        <v/>
      </c>
      <c r="L47" s="27" t="str">
        <f t="shared" si="7"/>
        <v/>
      </c>
      <c r="M47" s="28"/>
      <c r="N47" s="29" t="str">
        <f t="shared" si="8"/>
        <v/>
      </c>
      <c r="O47" s="30"/>
      <c r="P47" s="30"/>
    </row>
    <row r="48" spans="1:16" ht="36" x14ac:dyDescent="0.25">
      <c r="A48" s="22" t="s">
        <v>112</v>
      </c>
      <c r="B48" s="23" t="s">
        <v>113</v>
      </c>
      <c r="C48" s="24" t="s">
        <v>30</v>
      </c>
      <c r="D48" s="25"/>
      <c r="E48" s="25"/>
      <c r="F48" s="26"/>
      <c r="G48" s="26"/>
      <c r="H48" s="26"/>
      <c r="I48" s="26"/>
      <c r="J48" s="26"/>
      <c r="K48" s="27" t="str">
        <f t="shared" si="6"/>
        <v/>
      </c>
      <c r="L48" s="27" t="str">
        <f t="shared" si="7"/>
        <v/>
      </c>
      <c r="M48" s="28"/>
      <c r="N48" s="29" t="str">
        <f t="shared" si="8"/>
        <v/>
      </c>
      <c r="O48" s="30"/>
      <c r="P48" s="30"/>
    </row>
    <row r="49" spans="1:16" ht="36" x14ac:dyDescent="0.25">
      <c r="A49" s="31" t="s">
        <v>114</v>
      </c>
      <c r="B49" s="32" t="s">
        <v>115</v>
      </c>
      <c r="C49" s="24" t="s">
        <v>30</v>
      </c>
      <c r="D49" s="25"/>
      <c r="E49" s="25"/>
      <c r="F49" s="26"/>
      <c r="G49" s="26"/>
      <c r="H49" s="26"/>
      <c r="I49" s="26"/>
      <c r="J49" s="26"/>
      <c r="K49" s="27" t="str">
        <f t="shared" si="6"/>
        <v/>
      </c>
      <c r="L49" s="27" t="str">
        <f t="shared" si="7"/>
        <v/>
      </c>
      <c r="M49" s="28"/>
      <c r="N49" s="29" t="str">
        <f t="shared" si="8"/>
        <v/>
      </c>
      <c r="O49" s="30"/>
      <c r="P49" s="30"/>
    </row>
    <row r="50" spans="1:16" ht="24" x14ac:dyDescent="0.25">
      <c r="A50" s="22" t="s">
        <v>116</v>
      </c>
      <c r="B50" s="23" t="s">
        <v>117</v>
      </c>
      <c r="C50" s="24" t="s">
        <v>30</v>
      </c>
      <c r="D50" s="25"/>
      <c r="E50" s="25"/>
      <c r="F50" s="26"/>
      <c r="G50" s="26"/>
      <c r="H50" s="26"/>
      <c r="I50" s="26"/>
      <c r="J50" s="26"/>
      <c r="K50" s="27" t="str">
        <f t="shared" si="6"/>
        <v/>
      </c>
      <c r="L50" s="27" t="str">
        <f t="shared" si="7"/>
        <v/>
      </c>
      <c r="M50" s="28"/>
      <c r="N50" s="29" t="str">
        <f t="shared" si="8"/>
        <v/>
      </c>
      <c r="O50" s="30"/>
      <c r="P50" s="30"/>
    </row>
    <row r="51" spans="1:16" ht="36" x14ac:dyDescent="0.25">
      <c r="A51" s="19" t="s">
        <v>118</v>
      </c>
      <c r="B51" s="20" t="s">
        <v>119</v>
      </c>
      <c r="C51" s="21"/>
      <c r="D51" s="21"/>
      <c r="E51" s="21"/>
      <c r="F51" s="21"/>
      <c r="G51" s="21"/>
      <c r="H51" s="21"/>
      <c r="I51" s="21"/>
      <c r="J51" s="21"/>
      <c r="K51" s="21"/>
      <c r="L51" s="21"/>
      <c r="M51" s="21"/>
      <c r="N51" s="21"/>
      <c r="O51" s="21"/>
      <c r="P51" s="21"/>
    </row>
    <row r="52" spans="1:16" ht="24" x14ac:dyDescent="0.25">
      <c r="A52" s="22" t="s">
        <v>120</v>
      </c>
      <c r="B52" s="23" t="s">
        <v>121</v>
      </c>
      <c r="C52" s="24" t="s">
        <v>30</v>
      </c>
      <c r="D52" s="25"/>
      <c r="E52" s="25"/>
      <c r="F52" s="26"/>
      <c r="G52" s="26"/>
      <c r="H52" s="26"/>
      <c r="I52" s="26"/>
      <c r="J52" s="26"/>
      <c r="K52" s="27" t="str">
        <f t="shared" ref="K52:K61" si="9">IF(COUNTA(F52:J52)=5,SUM(F52:J52),"")</f>
        <v/>
      </c>
      <c r="L52" s="27" t="str">
        <f t="shared" ref="L52:L61" si="10">IF(K52="","",IF(K52&lt;=2,"1 - Ad Hoc",IF(K52&lt;=5,"2 - Defined",IF(K52&lt;=7,"3 - Consistently Implemented",IF(K52&lt;=9,"4 - Managed and Measurable","5 - Optimized")))))</f>
        <v/>
      </c>
      <c r="M52" s="28"/>
      <c r="N52" s="29" t="str">
        <f t="shared" ref="N52:N61" si="11">IF(OR(L52="",M52=""),"",IF(VALUE(LEFT(L52,1))&lt;VALUE(LEFT(M52,1)),"GAP","OK"))</f>
        <v/>
      </c>
      <c r="O52" s="30"/>
      <c r="P52" s="30"/>
    </row>
    <row r="53" spans="1:16" ht="24" x14ac:dyDescent="0.25">
      <c r="A53" s="31" t="s">
        <v>122</v>
      </c>
      <c r="B53" s="32" t="s">
        <v>123</v>
      </c>
      <c r="C53" s="24" t="s">
        <v>30</v>
      </c>
      <c r="D53" s="25"/>
      <c r="E53" s="25"/>
      <c r="F53" s="26"/>
      <c r="G53" s="26"/>
      <c r="H53" s="26"/>
      <c r="I53" s="26"/>
      <c r="J53" s="26"/>
      <c r="K53" s="27" t="str">
        <f t="shared" si="9"/>
        <v/>
      </c>
      <c r="L53" s="27" t="str">
        <f t="shared" si="10"/>
        <v/>
      </c>
      <c r="M53" s="28"/>
      <c r="N53" s="29" t="str">
        <f t="shared" si="11"/>
        <v/>
      </c>
      <c r="O53" s="30"/>
      <c r="P53" s="30"/>
    </row>
    <row r="54" spans="1:16" ht="24" x14ac:dyDescent="0.25">
      <c r="A54" s="22" t="s">
        <v>124</v>
      </c>
      <c r="B54" s="23" t="s">
        <v>125</v>
      </c>
      <c r="C54" s="24" t="s">
        <v>30</v>
      </c>
      <c r="D54" s="25"/>
      <c r="E54" s="25"/>
      <c r="F54" s="26"/>
      <c r="G54" s="26"/>
      <c r="H54" s="26"/>
      <c r="I54" s="26"/>
      <c r="J54" s="26"/>
      <c r="K54" s="27" t="str">
        <f t="shared" si="9"/>
        <v/>
      </c>
      <c r="L54" s="27" t="str">
        <f t="shared" si="10"/>
        <v/>
      </c>
      <c r="M54" s="28"/>
      <c r="N54" s="29" t="str">
        <f t="shared" si="11"/>
        <v/>
      </c>
      <c r="O54" s="30"/>
      <c r="P54" s="30"/>
    </row>
    <row r="55" spans="1:16" ht="36" x14ac:dyDescent="0.25">
      <c r="A55" s="31" t="s">
        <v>126</v>
      </c>
      <c r="B55" s="32" t="s">
        <v>127</v>
      </c>
      <c r="C55" s="24" t="s">
        <v>30</v>
      </c>
      <c r="D55" s="25"/>
      <c r="E55" s="25"/>
      <c r="F55" s="26"/>
      <c r="G55" s="26"/>
      <c r="H55" s="26"/>
      <c r="I55" s="26"/>
      <c r="J55" s="26"/>
      <c r="K55" s="27" t="str">
        <f t="shared" si="9"/>
        <v/>
      </c>
      <c r="L55" s="27" t="str">
        <f t="shared" si="10"/>
        <v/>
      </c>
      <c r="M55" s="28"/>
      <c r="N55" s="29" t="str">
        <f t="shared" si="11"/>
        <v/>
      </c>
      <c r="O55" s="30"/>
      <c r="P55" s="30"/>
    </row>
    <row r="56" spans="1:16" ht="36" x14ac:dyDescent="0.25">
      <c r="A56" s="22" t="s">
        <v>128</v>
      </c>
      <c r="B56" s="23" t="s">
        <v>129</v>
      </c>
      <c r="C56" s="24" t="s">
        <v>30</v>
      </c>
      <c r="D56" s="25"/>
      <c r="E56" s="25"/>
      <c r="F56" s="26"/>
      <c r="G56" s="26"/>
      <c r="H56" s="26"/>
      <c r="I56" s="26"/>
      <c r="J56" s="26"/>
      <c r="K56" s="27" t="str">
        <f t="shared" si="9"/>
        <v/>
      </c>
      <c r="L56" s="27" t="str">
        <f t="shared" si="10"/>
        <v/>
      </c>
      <c r="M56" s="28"/>
      <c r="N56" s="29" t="str">
        <f t="shared" si="11"/>
        <v/>
      </c>
      <c r="O56" s="30"/>
      <c r="P56" s="30"/>
    </row>
    <row r="57" spans="1:16" ht="24" x14ac:dyDescent="0.25">
      <c r="A57" s="31" t="s">
        <v>130</v>
      </c>
      <c r="B57" s="32" t="s">
        <v>131</v>
      </c>
      <c r="C57" s="24" t="s">
        <v>30</v>
      </c>
      <c r="D57" s="25"/>
      <c r="E57" s="25"/>
      <c r="F57" s="26"/>
      <c r="G57" s="26"/>
      <c r="H57" s="26"/>
      <c r="I57" s="26"/>
      <c r="J57" s="26"/>
      <c r="K57" s="27" t="str">
        <f t="shared" si="9"/>
        <v/>
      </c>
      <c r="L57" s="27" t="str">
        <f t="shared" si="10"/>
        <v/>
      </c>
      <c r="M57" s="28"/>
      <c r="N57" s="29" t="str">
        <f t="shared" si="11"/>
        <v/>
      </c>
      <c r="O57" s="30"/>
      <c r="P57" s="30"/>
    </row>
    <row r="58" spans="1:16" ht="36" x14ac:dyDescent="0.25">
      <c r="A58" s="22" t="s">
        <v>132</v>
      </c>
      <c r="B58" s="23" t="s">
        <v>133</v>
      </c>
      <c r="C58" s="24" t="s">
        <v>30</v>
      </c>
      <c r="D58" s="25"/>
      <c r="E58" s="25"/>
      <c r="F58" s="26"/>
      <c r="G58" s="26"/>
      <c r="H58" s="26"/>
      <c r="I58" s="26"/>
      <c r="J58" s="26"/>
      <c r="K58" s="27" t="str">
        <f t="shared" si="9"/>
        <v/>
      </c>
      <c r="L58" s="27" t="str">
        <f t="shared" si="10"/>
        <v/>
      </c>
      <c r="M58" s="28"/>
      <c r="N58" s="29" t="str">
        <f t="shared" si="11"/>
        <v/>
      </c>
      <c r="O58" s="30"/>
      <c r="P58" s="30"/>
    </row>
    <row r="59" spans="1:16" ht="36" x14ac:dyDescent="0.25">
      <c r="A59" s="31" t="s">
        <v>134</v>
      </c>
      <c r="B59" s="32" t="s">
        <v>135</v>
      </c>
      <c r="C59" s="24" t="s">
        <v>30</v>
      </c>
      <c r="D59" s="25"/>
      <c r="E59" s="25"/>
      <c r="F59" s="26"/>
      <c r="G59" s="26"/>
      <c r="H59" s="26"/>
      <c r="I59" s="26"/>
      <c r="J59" s="26"/>
      <c r="K59" s="27" t="str">
        <f t="shared" si="9"/>
        <v/>
      </c>
      <c r="L59" s="27" t="str">
        <f t="shared" si="10"/>
        <v/>
      </c>
      <c r="M59" s="28"/>
      <c r="N59" s="29" t="str">
        <f t="shared" si="11"/>
        <v/>
      </c>
      <c r="O59" s="30"/>
      <c r="P59" s="30"/>
    </row>
    <row r="60" spans="1:16" ht="36" x14ac:dyDescent="0.25">
      <c r="A60" s="22" t="s">
        <v>136</v>
      </c>
      <c r="B60" s="23" t="s">
        <v>137</v>
      </c>
      <c r="C60" s="24" t="s">
        <v>30</v>
      </c>
      <c r="D60" s="25"/>
      <c r="E60" s="25"/>
      <c r="F60" s="26"/>
      <c r="G60" s="26"/>
      <c r="H60" s="26"/>
      <c r="I60" s="26"/>
      <c r="J60" s="26"/>
      <c r="K60" s="27" t="str">
        <f t="shared" si="9"/>
        <v/>
      </c>
      <c r="L60" s="27" t="str">
        <f t="shared" si="10"/>
        <v/>
      </c>
      <c r="M60" s="28"/>
      <c r="N60" s="29" t="str">
        <f t="shared" si="11"/>
        <v/>
      </c>
      <c r="O60" s="30"/>
      <c r="P60" s="30"/>
    </row>
    <row r="61" spans="1:16" ht="24" x14ac:dyDescent="0.25">
      <c r="A61" s="31" t="s">
        <v>138</v>
      </c>
      <c r="B61" s="32" t="s">
        <v>139</v>
      </c>
      <c r="C61" s="24" t="s">
        <v>30</v>
      </c>
      <c r="D61" s="25"/>
      <c r="E61" s="25"/>
      <c r="F61" s="26"/>
      <c r="G61" s="26"/>
      <c r="H61" s="26"/>
      <c r="I61" s="26"/>
      <c r="J61" s="26"/>
      <c r="K61" s="27" t="str">
        <f t="shared" si="9"/>
        <v/>
      </c>
      <c r="L61" s="27" t="str">
        <f t="shared" si="10"/>
        <v/>
      </c>
      <c r="M61" s="28"/>
      <c r="N61" s="29" t="str">
        <f t="shared" si="11"/>
        <v/>
      </c>
      <c r="O61" s="30"/>
      <c r="P61" s="30"/>
    </row>
    <row r="62" spans="1:16" ht="48" x14ac:dyDescent="0.25">
      <c r="A62" s="19" t="s">
        <v>140</v>
      </c>
      <c r="B62" s="20" t="s">
        <v>141</v>
      </c>
      <c r="C62" s="21"/>
      <c r="D62" s="21"/>
      <c r="E62" s="21"/>
      <c r="F62" s="21"/>
      <c r="G62" s="21"/>
      <c r="H62" s="21"/>
      <c r="I62" s="21"/>
      <c r="J62" s="21"/>
      <c r="K62" s="21"/>
      <c r="L62" s="21"/>
      <c r="M62" s="21"/>
      <c r="N62" s="21"/>
      <c r="O62" s="21"/>
      <c r="P62" s="21"/>
    </row>
    <row r="63" spans="1:16" x14ac:dyDescent="0.25">
      <c r="A63" s="22" t="s">
        <v>142</v>
      </c>
      <c r="B63" s="23" t="s">
        <v>143</v>
      </c>
      <c r="C63" s="24" t="s">
        <v>30</v>
      </c>
      <c r="D63" s="25"/>
      <c r="E63" s="25"/>
      <c r="F63" s="26"/>
      <c r="G63" s="26"/>
      <c r="H63" s="26"/>
      <c r="I63" s="26"/>
      <c r="J63" s="26"/>
      <c r="K63" s="27" t="str">
        <f>IF(COUNTA(F63:J63)=5,SUM(F63:J63),"")</f>
        <v/>
      </c>
      <c r="L63" s="27" t="str">
        <f>IF(K63="","",IF(K63&lt;=2,"1 - Ad Hoc",IF(K63&lt;=5,"2 - Defined",IF(K63&lt;=7,"3 - Consistently Implemented",IF(K63&lt;=9,"4 - Managed and Measurable","5 - Optimized")))))</f>
        <v/>
      </c>
      <c r="M63" s="28"/>
      <c r="N63" s="29" t="str">
        <f>IF(OR(L63="",M63=""),"",IF(VALUE(LEFT(L63,1))&lt;VALUE(LEFT(M63,1)),"GAP","OK"))</f>
        <v/>
      </c>
      <c r="O63" s="30"/>
      <c r="P63" s="30"/>
    </row>
    <row r="64" spans="1:16" ht="48" x14ac:dyDescent="0.25">
      <c r="A64" s="31" t="s">
        <v>144</v>
      </c>
      <c r="B64" s="32" t="s">
        <v>145</v>
      </c>
      <c r="C64" s="24" t="s">
        <v>30</v>
      </c>
      <c r="D64" s="25"/>
      <c r="E64" s="25"/>
      <c r="F64" s="26"/>
      <c r="G64" s="26"/>
      <c r="H64" s="26"/>
      <c r="I64" s="26"/>
      <c r="J64" s="26"/>
      <c r="K64" s="27" t="str">
        <f>IF(COUNTA(F64:J64)=5,SUM(F64:J64),"")</f>
        <v/>
      </c>
      <c r="L64" s="27" t="str">
        <f>IF(K64="","",IF(K64&lt;=2,"1 - Ad Hoc",IF(K64&lt;=5,"2 - Defined",IF(K64&lt;=7,"3 - Consistently Implemented",IF(K64&lt;=9,"4 - Managed and Measurable","5 - Optimized")))))</f>
        <v/>
      </c>
      <c r="M64" s="28"/>
      <c r="N64" s="29" t="str">
        <f>IF(OR(L64="",M64=""),"",IF(VALUE(LEFT(L64,1))&lt;VALUE(LEFT(M64,1)),"GAP","OK"))</f>
        <v/>
      </c>
      <c r="O64" s="30"/>
      <c r="P64" s="30"/>
    </row>
    <row r="65" spans="1:16" ht="36" x14ac:dyDescent="0.25">
      <c r="A65" s="22" t="s">
        <v>146</v>
      </c>
      <c r="B65" s="23" t="s">
        <v>147</v>
      </c>
      <c r="C65" s="24" t="s">
        <v>30</v>
      </c>
      <c r="D65" s="25"/>
      <c r="E65" s="25"/>
      <c r="F65" s="26"/>
      <c r="G65" s="26"/>
      <c r="H65" s="26"/>
      <c r="I65" s="26"/>
      <c r="J65" s="26"/>
      <c r="K65" s="27" t="str">
        <f>IF(COUNTA(F65:J65)=5,SUM(F65:J65),"")</f>
        <v/>
      </c>
      <c r="L65" s="27" t="str">
        <f>IF(K65="","",IF(K65&lt;=2,"1 - Ad Hoc",IF(K65&lt;=5,"2 - Defined",IF(K65&lt;=7,"3 - Consistently Implemented",IF(K65&lt;=9,"4 - Managed and Measurable","5 - Optimized")))))</f>
        <v/>
      </c>
      <c r="M65" s="28"/>
      <c r="N65" s="29" t="str">
        <f>IF(OR(L65="",M65=""),"",IF(VALUE(LEFT(L65,1))&lt;VALUE(LEFT(M65,1)),"GAP","OK"))</f>
        <v/>
      </c>
      <c r="O65" s="30"/>
      <c r="P65" s="30"/>
    </row>
    <row r="66" spans="1:16" ht="48" x14ac:dyDescent="0.25">
      <c r="A66" s="31" t="s">
        <v>148</v>
      </c>
      <c r="B66" s="32" t="s">
        <v>149</v>
      </c>
      <c r="C66" s="24" t="s">
        <v>30</v>
      </c>
      <c r="D66" s="25"/>
      <c r="E66" s="25"/>
      <c r="F66" s="26"/>
      <c r="G66" s="26"/>
      <c r="H66" s="26"/>
      <c r="I66" s="26"/>
      <c r="J66" s="26"/>
      <c r="K66" s="27" t="str">
        <f>IF(COUNTA(F66:J66)=5,SUM(F66:J66),"")</f>
        <v/>
      </c>
      <c r="L66" s="27" t="str">
        <f>IF(K66="","",IF(K66&lt;=2,"1 - Ad Hoc",IF(K66&lt;=5,"2 - Defined",IF(K66&lt;=7,"3 - Consistently Implemented",IF(K66&lt;=9,"4 - Managed and Measurable","5 - Optimized")))))</f>
        <v/>
      </c>
      <c r="M66" s="28"/>
      <c r="N66" s="29" t="str">
        <f>IF(OR(L66="",M66=""),"",IF(VALUE(LEFT(L66,1))&lt;VALUE(LEFT(M66,1)),"GAP","OK"))</f>
        <v/>
      </c>
      <c r="O66" s="30"/>
      <c r="P66" s="30"/>
    </row>
    <row r="67" spans="1:16" ht="38.25" x14ac:dyDescent="0.25">
      <c r="A67" s="16" t="s">
        <v>150</v>
      </c>
      <c r="B67" s="17" t="s">
        <v>151</v>
      </c>
      <c r="C67" s="18"/>
      <c r="D67" s="18"/>
      <c r="E67" s="18"/>
      <c r="F67" s="18"/>
      <c r="G67" s="18"/>
      <c r="H67" s="18"/>
      <c r="I67" s="18"/>
      <c r="J67" s="18"/>
      <c r="K67" s="18"/>
      <c r="L67" s="18"/>
      <c r="M67" s="18"/>
      <c r="N67" s="18"/>
      <c r="O67" s="18"/>
      <c r="P67" s="18"/>
    </row>
    <row r="68" spans="1:16" ht="60" x14ac:dyDescent="0.25">
      <c r="A68" s="19" t="s">
        <v>152</v>
      </c>
      <c r="B68" s="20" t="s">
        <v>153</v>
      </c>
      <c r="C68" s="21"/>
      <c r="D68" s="21"/>
      <c r="E68" s="21"/>
      <c r="F68" s="21"/>
      <c r="G68" s="21"/>
      <c r="H68" s="21"/>
      <c r="I68" s="21"/>
      <c r="J68" s="21"/>
      <c r="K68" s="21"/>
      <c r="L68" s="21"/>
      <c r="M68" s="21"/>
      <c r="N68" s="21"/>
      <c r="O68" s="21"/>
      <c r="P68" s="21"/>
    </row>
    <row r="69" spans="1:16" ht="36" x14ac:dyDescent="0.25">
      <c r="A69" s="22" t="s">
        <v>154</v>
      </c>
      <c r="B69" s="23" t="s">
        <v>155</v>
      </c>
      <c r="C69" s="24" t="s">
        <v>30</v>
      </c>
      <c r="D69" s="25"/>
      <c r="E69" s="25"/>
      <c r="F69" s="26"/>
      <c r="G69" s="26"/>
      <c r="H69" s="26"/>
      <c r="I69" s="26"/>
      <c r="J69" s="26"/>
      <c r="K69" s="27" t="str">
        <f t="shared" ref="K69:K74" si="12">IF(COUNTA(F69:J69)=5,SUM(F69:J69),"")</f>
        <v/>
      </c>
      <c r="L69" s="27" t="str">
        <f t="shared" ref="L69:L74" si="13">IF(K69="","",IF(K69&lt;=2,"1 - Ad Hoc",IF(K69&lt;=5,"2 - Defined",IF(K69&lt;=7,"3 - Consistently Implemented",IF(K69&lt;=9,"4 - Managed and Measurable","5 - Optimized")))))</f>
        <v/>
      </c>
      <c r="M69" s="28"/>
      <c r="N69" s="29" t="str">
        <f t="shared" ref="N69:N74" si="14">IF(OR(L69="",M69=""),"",IF(VALUE(LEFT(L69,1))&lt;VALUE(LEFT(M69,1)),"GAP","OK"))</f>
        <v/>
      </c>
      <c r="O69" s="30"/>
      <c r="P69" s="30"/>
    </row>
    <row r="70" spans="1:16" ht="36" x14ac:dyDescent="0.25">
      <c r="A70" s="31" t="s">
        <v>156</v>
      </c>
      <c r="B70" s="32" t="s">
        <v>157</v>
      </c>
      <c r="C70" s="24" t="s">
        <v>30</v>
      </c>
      <c r="D70" s="25"/>
      <c r="E70" s="25"/>
      <c r="F70" s="26"/>
      <c r="G70" s="26"/>
      <c r="H70" s="26"/>
      <c r="I70" s="26"/>
      <c r="J70" s="26"/>
      <c r="K70" s="27" t="str">
        <f t="shared" si="12"/>
        <v/>
      </c>
      <c r="L70" s="27" t="str">
        <f t="shared" si="13"/>
        <v/>
      </c>
      <c r="M70" s="28"/>
      <c r="N70" s="29" t="str">
        <f t="shared" si="14"/>
        <v/>
      </c>
      <c r="O70" s="30"/>
      <c r="P70" s="30"/>
    </row>
    <row r="71" spans="1:16" ht="24" x14ac:dyDescent="0.25">
      <c r="A71" s="22" t="s">
        <v>158</v>
      </c>
      <c r="B71" s="23" t="s">
        <v>159</v>
      </c>
      <c r="C71" s="24" t="s">
        <v>30</v>
      </c>
      <c r="D71" s="25"/>
      <c r="E71" s="25"/>
      <c r="F71" s="26"/>
      <c r="G71" s="26"/>
      <c r="H71" s="26"/>
      <c r="I71" s="26"/>
      <c r="J71" s="26"/>
      <c r="K71" s="27" t="str">
        <f t="shared" si="12"/>
        <v/>
      </c>
      <c r="L71" s="27" t="str">
        <f t="shared" si="13"/>
        <v/>
      </c>
      <c r="M71" s="28"/>
      <c r="N71" s="29" t="str">
        <f t="shared" si="14"/>
        <v/>
      </c>
      <c r="O71" s="30"/>
      <c r="P71" s="30"/>
    </row>
    <row r="72" spans="1:16" ht="24" x14ac:dyDescent="0.25">
      <c r="A72" s="31" t="s">
        <v>160</v>
      </c>
      <c r="B72" s="32" t="s">
        <v>161</v>
      </c>
      <c r="C72" s="24" t="s">
        <v>30</v>
      </c>
      <c r="D72" s="25"/>
      <c r="E72" s="25"/>
      <c r="F72" s="26"/>
      <c r="G72" s="26"/>
      <c r="H72" s="26"/>
      <c r="I72" s="26"/>
      <c r="J72" s="26"/>
      <c r="K72" s="27" t="str">
        <f t="shared" si="12"/>
        <v/>
      </c>
      <c r="L72" s="27" t="str">
        <f t="shared" si="13"/>
        <v/>
      </c>
      <c r="M72" s="28"/>
      <c r="N72" s="29" t="str">
        <f t="shared" si="14"/>
        <v/>
      </c>
      <c r="O72" s="30"/>
      <c r="P72" s="30"/>
    </row>
    <row r="73" spans="1:16" ht="60" x14ac:dyDescent="0.25">
      <c r="A73" s="22" t="s">
        <v>162</v>
      </c>
      <c r="B73" s="23" t="s">
        <v>163</v>
      </c>
      <c r="C73" s="24" t="s">
        <v>30</v>
      </c>
      <c r="D73" s="25"/>
      <c r="E73" s="25"/>
      <c r="F73" s="26"/>
      <c r="G73" s="26"/>
      <c r="H73" s="26"/>
      <c r="I73" s="26"/>
      <c r="J73" s="26"/>
      <c r="K73" s="27" t="str">
        <f t="shared" si="12"/>
        <v/>
      </c>
      <c r="L73" s="27" t="str">
        <f t="shared" si="13"/>
        <v/>
      </c>
      <c r="M73" s="28"/>
      <c r="N73" s="29" t="str">
        <f t="shared" si="14"/>
        <v/>
      </c>
      <c r="O73" s="30"/>
      <c r="P73" s="30"/>
    </row>
    <row r="74" spans="1:16" ht="36" x14ac:dyDescent="0.25">
      <c r="A74" s="31" t="s">
        <v>164</v>
      </c>
      <c r="B74" s="32" t="s">
        <v>165</v>
      </c>
      <c r="C74" s="24" t="s">
        <v>30</v>
      </c>
      <c r="D74" s="25"/>
      <c r="E74" s="25"/>
      <c r="F74" s="26"/>
      <c r="G74" s="26"/>
      <c r="H74" s="26"/>
      <c r="I74" s="26"/>
      <c r="J74" s="26"/>
      <c r="K74" s="27" t="str">
        <f t="shared" si="12"/>
        <v/>
      </c>
      <c r="L74" s="27" t="str">
        <f t="shared" si="13"/>
        <v/>
      </c>
      <c r="M74" s="28"/>
      <c r="N74" s="29" t="str">
        <f t="shared" si="14"/>
        <v/>
      </c>
      <c r="O74" s="30"/>
      <c r="P74" s="30"/>
    </row>
    <row r="75" spans="1:16" ht="48" x14ac:dyDescent="0.25">
      <c r="A75" s="19" t="s">
        <v>166</v>
      </c>
      <c r="B75" s="20" t="s">
        <v>167</v>
      </c>
      <c r="C75" s="21"/>
      <c r="D75" s="21"/>
      <c r="E75" s="21"/>
      <c r="F75" s="21"/>
      <c r="G75" s="21"/>
      <c r="H75" s="21"/>
      <c r="I75" s="21"/>
      <c r="J75" s="21"/>
      <c r="K75" s="21"/>
      <c r="L75" s="21"/>
      <c r="M75" s="21"/>
      <c r="N75" s="21"/>
      <c r="O75" s="21"/>
      <c r="P75" s="21"/>
    </row>
    <row r="76" spans="1:16" ht="48" x14ac:dyDescent="0.25">
      <c r="A76" s="22" t="s">
        <v>168</v>
      </c>
      <c r="B76" s="23" t="s">
        <v>169</v>
      </c>
      <c r="C76" s="24" t="s">
        <v>30</v>
      </c>
      <c r="D76" s="25"/>
      <c r="E76" s="25"/>
      <c r="F76" s="26"/>
      <c r="G76" s="26"/>
      <c r="H76" s="26"/>
      <c r="I76" s="26"/>
      <c r="J76" s="26"/>
      <c r="K76" s="27" t="str">
        <f>IF(COUNTA(F76:J76)=5,SUM(F76:J76),"")</f>
        <v/>
      </c>
      <c r="L76" s="27" t="str">
        <f>IF(K76="","",IF(K76&lt;=2,"1 - Ad Hoc",IF(K76&lt;=5,"2 - Defined",IF(K76&lt;=7,"3 - Consistently Implemented",IF(K76&lt;=9,"4 - Managed and Measurable","5 - Optimized")))))</f>
        <v/>
      </c>
      <c r="M76" s="28"/>
      <c r="N76" s="29" t="str">
        <f>IF(OR(L76="",M76=""),"",IF(VALUE(LEFT(L76,1))&lt;VALUE(LEFT(M76,1)),"GAP","OK"))</f>
        <v/>
      </c>
      <c r="O76" s="30"/>
      <c r="P76" s="30"/>
    </row>
    <row r="77" spans="1:16" ht="48" x14ac:dyDescent="0.25">
      <c r="A77" s="31" t="s">
        <v>170</v>
      </c>
      <c r="B77" s="32" t="s">
        <v>171</v>
      </c>
      <c r="C77" s="24" t="s">
        <v>30</v>
      </c>
      <c r="D77" s="25"/>
      <c r="E77" s="25"/>
      <c r="F77" s="26"/>
      <c r="G77" s="26"/>
      <c r="H77" s="26"/>
      <c r="I77" s="26"/>
      <c r="J77" s="26"/>
      <c r="K77" s="27" t="str">
        <f>IF(COUNTA(F77:J77)=5,SUM(F77:J77),"")</f>
        <v/>
      </c>
      <c r="L77" s="27" t="str">
        <f>IF(K77="","",IF(K77&lt;=2,"1 - Ad Hoc",IF(K77&lt;=5,"2 - Defined",IF(K77&lt;=7,"3 - Consistently Implemented",IF(K77&lt;=9,"4 - Managed and Measurable","5 - Optimized")))))</f>
        <v/>
      </c>
      <c r="M77" s="28"/>
      <c r="N77" s="29" t="str">
        <f>IF(OR(L77="",M77=""),"",IF(VALUE(LEFT(L77,1))&lt;VALUE(LEFT(M77,1)),"GAP","OK"))</f>
        <v/>
      </c>
      <c r="O77" s="30"/>
      <c r="P77" s="30"/>
    </row>
    <row r="78" spans="1:16" ht="48" x14ac:dyDescent="0.25">
      <c r="A78" s="19" t="s">
        <v>172</v>
      </c>
      <c r="B78" s="20" t="s">
        <v>173</v>
      </c>
      <c r="C78" s="21"/>
      <c r="D78" s="21"/>
      <c r="E78" s="21"/>
      <c r="F78" s="21"/>
      <c r="G78" s="21"/>
      <c r="H78" s="21"/>
      <c r="I78" s="21"/>
      <c r="J78" s="21"/>
      <c r="K78" s="21"/>
      <c r="L78" s="21"/>
      <c r="M78" s="21"/>
      <c r="N78" s="21"/>
      <c r="O78" s="21"/>
      <c r="P78" s="21"/>
    </row>
    <row r="79" spans="1:16" ht="24" x14ac:dyDescent="0.25">
      <c r="A79" s="22" t="s">
        <v>174</v>
      </c>
      <c r="B79" s="23" t="s">
        <v>175</v>
      </c>
      <c r="C79" s="24" t="s">
        <v>30</v>
      </c>
      <c r="D79" s="25"/>
      <c r="E79" s="25"/>
      <c r="F79" s="26"/>
      <c r="G79" s="26"/>
      <c r="H79" s="26"/>
      <c r="I79" s="26"/>
      <c r="J79" s="26"/>
      <c r="K79" s="27" t="str">
        <f>IF(COUNTA(F79:J79)=5,SUM(F79:J79),"")</f>
        <v/>
      </c>
      <c r="L79" s="27" t="str">
        <f>IF(K79="","",IF(K79&lt;=2,"1 - Ad Hoc",IF(K79&lt;=5,"2 - Defined",IF(K79&lt;=7,"3 - Consistently Implemented",IF(K79&lt;=9,"4 - Managed and Measurable","5 - Optimized")))))</f>
        <v/>
      </c>
      <c r="M79" s="28"/>
      <c r="N79" s="29" t="str">
        <f>IF(OR(L79="",M79=""),"",IF(VALUE(LEFT(L79,1))&lt;VALUE(LEFT(M79,1)),"GAP","OK"))</f>
        <v/>
      </c>
      <c r="O79" s="30"/>
      <c r="P79" s="30"/>
    </row>
    <row r="80" spans="1:16" ht="24" x14ac:dyDescent="0.25">
      <c r="A80" s="31" t="s">
        <v>176</v>
      </c>
      <c r="B80" s="32" t="s">
        <v>177</v>
      </c>
      <c r="C80" s="24" t="s">
        <v>30</v>
      </c>
      <c r="D80" s="25"/>
      <c r="E80" s="25"/>
      <c r="F80" s="26"/>
      <c r="G80" s="26"/>
      <c r="H80" s="26"/>
      <c r="I80" s="26"/>
      <c r="J80" s="26"/>
      <c r="K80" s="27" t="str">
        <f>IF(COUNTA(F80:J80)=5,SUM(F80:J80),"")</f>
        <v/>
      </c>
      <c r="L80" s="27" t="str">
        <f>IF(K80="","",IF(K80&lt;=2,"1 - Ad Hoc",IF(K80&lt;=5,"2 - Defined",IF(K80&lt;=7,"3 - Consistently Implemented",IF(K80&lt;=9,"4 - Managed and Measurable","5 - Optimized")))))</f>
        <v/>
      </c>
      <c r="M80" s="28"/>
      <c r="N80" s="29" t="str">
        <f>IF(OR(L80="",M80=""),"",IF(VALUE(LEFT(L80,1))&lt;VALUE(LEFT(M80,1)),"GAP","OK"))</f>
        <v/>
      </c>
      <c r="O80" s="30"/>
      <c r="P80" s="30"/>
    </row>
    <row r="81" spans="1:16" ht="24" x14ac:dyDescent="0.25">
      <c r="A81" s="22" t="s">
        <v>178</v>
      </c>
      <c r="B81" s="23" t="s">
        <v>179</v>
      </c>
      <c r="C81" s="24" t="s">
        <v>30</v>
      </c>
      <c r="D81" s="25"/>
      <c r="E81" s="25"/>
      <c r="F81" s="26"/>
      <c r="G81" s="26"/>
      <c r="H81" s="26"/>
      <c r="I81" s="26"/>
      <c r="J81" s="26"/>
      <c r="K81" s="27" t="str">
        <f>IF(COUNTA(F81:J81)=5,SUM(F81:J81),"")</f>
        <v/>
      </c>
      <c r="L81" s="27" t="str">
        <f>IF(K81="","",IF(K81&lt;=2,"1 - Ad Hoc",IF(K81&lt;=5,"2 - Defined",IF(K81&lt;=7,"3 - Consistently Implemented",IF(K81&lt;=9,"4 - Managed and Measurable","5 - Optimized")))))</f>
        <v/>
      </c>
      <c r="M81" s="28"/>
      <c r="N81" s="29" t="str">
        <f>IF(OR(L81="",M81=""),"",IF(VALUE(LEFT(L81,1))&lt;VALUE(LEFT(M81,1)),"GAP","OK"))</f>
        <v/>
      </c>
      <c r="O81" s="30"/>
      <c r="P81" s="30"/>
    </row>
    <row r="82" spans="1:16" ht="24" x14ac:dyDescent="0.25">
      <c r="A82" s="31" t="s">
        <v>180</v>
      </c>
      <c r="B82" s="32" t="s">
        <v>181</v>
      </c>
      <c r="C82" s="24" t="s">
        <v>30</v>
      </c>
      <c r="D82" s="25"/>
      <c r="E82" s="25"/>
      <c r="F82" s="26"/>
      <c r="G82" s="26"/>
      <c r="H82" s="26"/>
      <c r="I82" s="26"/>
      <c r="J82" s="26"/>
      <c r="K82" s="27" t="str">
        <f>IF(COUNTA(F82:J82)=5,SUM(F82:J82),"")</f>
        <v/>
      </c>
      <c r="L82" s="27" t="str">
        <f>IF(K82="","",IF(K82&lt;=2,"1 - Ad Hoc",IF(K82&lt;=5,"2 - Defined",IF(K82&lt;=7,"3 - Consistently Implemented",IF(K82&lt;=9,"4 - Managed and Measurable","5 - Optimized")))))</f>
        <v/>
      </c>
      <c r="M82" s="28"/>
      <c r="N82" s="29" t="str">
        <f>IF(OR(L82="",M82=""),"",IF(VALUE(LEFT(L82,1))&lt;VALUE(LEFT(M82,1)),"GAP","OK"))</f>
        <v/>
      </c>
      <c r="O82" s="30"/>
      <c r="P82" s="30"/>
    </row>
    <row r="83" spans="1:16" ht="72" x14ac:dyDescent="0.25">
      <c r="A83" s="19" t="s">
        <v>182</v>
      </c>
      <c r="B83" s="20" t="s">
        <v>183</v>
      </c>
      <c r="C83" s="21"/>
      <c r="D83" s="21"/>
      <c r="E83" s="21"/>
      <c r="F83" s="21"/>
      <c r="G83" s="21"/>
      <c r="H83" s="21"/>
      <c r="I83" s="21"/>
      <c r="J83" s="21"/>
      <c r="K83" s="21"/>
      <c r="L83" s="21"/>
      <c r="M83" s="21"/>
      <c r="N83" s="21"/>
      <c r="O83" s="21"/>
      <c r="P83" s="21"/>
    </row>
    <row r="84" spans="1:16" ht="24" x14ac:dyDescent="0.25">
      <c r="A84" s="22" t="s">
        <v>184</v>
      </c>
      <c r="B84" s="23" t="s">
        <v>185</v>
      </c>
      <c r="C84" s="24" t="s">
        <v>30</v>
      </c>
      <c r="D84" s="25"/>
      <c r="E84" s="25"/>
      <c r="F84" s="26"/>
      <c r="G84" s="26"/>
      <c r="H84" s="26"/>
      <c r="I84" s="26"/>
      <c r="J84" s="26"/>
      <c r="K84" s="27" t="str">
        <f t="shared" ref="K84:K89" si="15">IF(COUNTA(F84:J84)=5,SUM(F84:J84),"")</f>
        <v/>
      </c>
      <c r="L84" s="27" t="str">
        <f t="shared" ref="L84:L89" si="16">IF(K84="","",IF(K84&lt;=2,"1 - Ad Hoc",IF(K84&lt;=5,"2 - Defined",IF(K84&lt;=7,"3 - Consistently Implemented",IF(K84&lt;=9,"4 - Managed and Measurable","5 - Optimized")))))</f>
        <v/>
      </c>
      <c r="M84" s="28"/>
      <c r="N84" s="29" t="str">
        <f t="shared" ref="N84:N89" si="17">IF(OR(L84="",M84=""),"",IF(VALUE(LEFT(L84,1))&lt;VALUE(LEFT(M84,1)),"GAP","OK"))</f>
        <v/>
      </c>
      <c r="O84" s="30"/>
      <c r="P84" s="30"/>
    </row>
    <row r="85" spans="1:16" ht="24" x14ac:dyDescent="0.25">
      <c r="A85" s="31" t="s">
        <v>186</v>
      </c>
      <c r="B85" s="32" t="s">
        <v>187</v>
      </c>
      <c r="C85" s="24" t="s">
        <v>30</v>
      </c>
      <c r="D85" s="25"/>
      <c r="E85" s="25"/>
      <c r="F85" s="26"/>
      <c r="G85" s="26"/>
      <c r="H85" s="26"/>
      <c r="I85" s="26"/>
      <c r="J85" s="26"/>
      <c r="K85" s="27" t="str">
        <f t="shared" si="15"/>
        <v/>
      </c>
      <c r="L85" s="27" t="str">
        <f t="shared" si="16"/>
        <v/>
      </c>
      <c r="M85" s="28"/>
      <c r="N85" s="29" t="str">
        <f t="shared" si="17"/>
        <v/>
      </c>
      <c r="O85" s="30"/>
      <c r="P85" s="30"/>
    </row>
    <row r="86" spans="1:16" ht="24" x14ac:dyDescent="0.25">
      <c r="A86" s="22" t="s">
        <v>188</v>
      </c>
      <c r="B86" s="23" t="s">
        <v>189</v>
      </c>
      <c r="C86" s="24" t="s">
        <v>30</v>
      </c>
      <c r="D86" s="25"/>
      <c r="E86" s="25"/>
      <c r="F86" s="26"/>
      <c r="G86" s="26"/>
      <c r="H86" s="26"/>
      <c r="I86" s="26"/>
      <c r="J86" s="26"/>
      <c r="K86" s="27" t="str">
        <f t="shared" si="15"/>
        <v/>
      </c>
      <c r="L86" s="27" t="str">
        <f t="shared" si="16"/>
        <v/>
      </c>
      <c r="M86" s="28"/>
      <c r="N86" s="29" t="str">
        <f t="shared" si="17"/>
        <v/>
      </c>
      <c r="O86" s="30"/>
      <c r="P86" s="30"/>
    </row>
    <row r="87" spans="1:16" ht="24" x14ac:dyDescent="0.25">
      <c r="A87" s="31" t="s">
        <v>190</v>
      </c>
      <c r="B87" s="32" t="s">
        <v>191</v>
      </c>
      <c r="C87" s="24" t="s">
        <v>30</v>
      </c>
      <c r="D87" s="25"/>
      <c r="E87" s="25"/>
      <c r="F87" s="26"/>
      <c r="G87" s="26"/>
      <c r="H87" s="26"/>
      <c r="I87" s="26"/>
      <c r="J87" s="26"/>
      <c r="K87" s="27" t="str">
        <f t="shared" si="15"/>
        <v/>
      </c>
      <c r="L87" s="27" t="str">
        <f t="shared" si="16"/>
        <v/>
      </c>
      <c r="M87" s="28"/>
      <c r="N87" s="29" t="str">
        <f t="shared" si="17"/>
        <v/>
      </c>
      <c r="O87" s="30"/>
      <c r="P87" s="30"/>
    </row>
    <row r="88" spans="1:16" ht="24" x14ac:dyDescent="0.25">
      <c r="A88" s="22" t="s">
        <v>192</v>
      </c>
      <c r="B88" s="23" t="s">
        <v>193</v>
      </c>
      <c r="C88" s="24" t="s">
        <v>30</v>
      </c>
      <c r="D88" s="25"/>
      <c r="E88" s="25"/>
      <c r="F88" s="26"/>
      <c r="G88" s="26"/>
      <c r="H88" s="26"/>
      <c r="I88" s="26"/>
      <c r="J88" s="26"/>
      <c r="K88" s="27" t="str">
        <f t="shared" si="15"/>
        <v/>
      </c>
      <c r="L88" s="27" t="str">
        <f t="shared" si="16"/>
        <v/>
      </c>
      <c r="M88" s="28"/>
      <c r="N88" s="29" t="str">
        <f t="shared" si="17"/>
        <v/>
      </c>
      <c r="O88" s="30"/>
      <c r="P88" s="30"/>
    </row>
    <row r="89" spans="1:16" ht="48" x14ac:dyDescent="0.25">
      <c r="A89" s="31" t="s">
        <v>194</v>
      </c>
      <c r="B89" s="32" t="s">
        <v>195</v>
      </c>
      <c r="C89" s="24" t="s">
        <v>30</v>
      </c>
      <c r="D89" s="25"/>
      <c r="E89" s="25"/>
      <c r="F89" s="26"/>
      <c r="G89" s="26"/>
      <c r="H89" s="26"/>
      <c r="I89" s="26"/>
      <c r="J89" s="26"/>
      <c r="K89" s="27" t="str">
        <f t="shared" si="15"/>
        <v/>
      </c>
      <c r="L89" s="27" t="str">
        <f t="shared" si="16"/>
        <v/>
      </c>
      <c r="M89" s="28"/>
      <c r="N89" s="29" t="str">
        <f t="shared" si="17"/>
        <v/>
      </c>
      <c r="O89" s="30"/>
      <c r="P89" s="30"/>
    </row>
    <row r="90" spans="1:16" ht="48" x14ac:dyDescent="0.25">
      <c r="A90" s="19" t="s">
        <v>196</v>
      </c>
      <c r="B90" s="20" t="s">
        <v>197</v>
      </c>
      <c r="C90" s="21"/>
      <c r="D90" s="21"/>
      <c r="E90" s="21"/>
      <c r="F90" s="21"/>
      <c r="G90" s="21"/>
      <c r="H90" s="21"/>
      <c r="I90" s="21"/>
      <c r="J90" s="21"/>
      <c r="K90" s="21"/>
      <c r="L90" s="21"/>
      <c r="M90" s="21"/>
      <c r="N90" s="21"/>
      <c r="O90" s="21"/>
      <c r="P90" s="21"/>
    </row>
    <row r="91" spans="1:16" ht="24" x14ac:dyDescent="0.25">
      <c r="A91" s="22" t="s">
        <v>198</v>
      </c>
      <c r="B91" s="23" t="s">
        <v>199</v>
      </c>
      <c r="C91" s="24" t="s">
        <v>30</v>
      </c>
      <c r="D91" s="25"/>
      <c r="E91" s="25"/>
      <c r="F91" s="26"/>
      <c r="G91" s="26"/>
      <c r="H91" s="26"/>
      <c r="I91" s="26"/>
      <c r="J91" s="26"/>
      <c r="K91" s="27" t="str">
        <f>IF(COUNTA(F91:J91)=5,SUM(F91:J91),"")</f>
        <v/>
      </c>
      <c r="L91" s="27" t="str">
        <f>IF(K91="","",IF(K91&lt;=2,"1 - Ad Hoc",IF(K91&lt;=5,"2 - Defined",IF(K91&lt;=7,"3 - Consistently Implemented",IF(K91&lt;=9,"4 - Managed and Measurable","5 - Optimized")))))</f>
        <v/>
      </c>
      <c r="M91" s="28"/>
      <c r="N91" s="29" t="str">
        <f>IF(OR(L91="",M91=""),"",IF(VALUE(LEFT(L91,1))&lt;VALUE(LEFT(M91,1)),"GAP","OK"))</f>
        <v/>
      </c>
      <c r="O91" s="30"/>
      <c r="P91" s="30"/>
    </row>
    <row r="92" spans="1:16" ht="24" x14ac:dyDescent="0.25">
      <c r="A92" s="31" t="s">
        <v>200</v>
      </c>
      <c r="B92" s="32" t="s">
        <v>201</v>
      </c>
      <c r="C92" s="24" t="s">
        <v>30</v>
      </c>
      <c r="D92" s="25"/>
      <c r="E92" s="25"/>
      <c r="F92" s="26"/>
      <c r="G92" s="26"/>
      <c r="H92" s="26"/>
      <c r="I92" s="26"/>
      <c r="J92" s="26"/>
      <c r="K92" s="27" t="str">
        <f>IF(COUNTA(F92:J92)=5,SUM(F92:J92),"")</f>
        <v/>
      </c>
      <c r="L92" s="27" t="str">
        <f>IF(K92="","",IF(K92&lt;=2,"1 - Ad Hoc",IF(K92&lt;=5,"2 - Defined",IF(K92&lt;=7,"3 - Consistently Implemented",IF(K92&lt;=9,"4 - Managed and Measurable","5 - Optimized")))))</f>
        <v/>
      </c>
      <c r="M92" s="28"/>
      <c r="N92" s="29" t="str">
        <f>IF(OR(L92="",M92=""),"",IF(VALUE(LEFT(L92,1))&lt;VALUE(LEFT(M92,1)),"GAP","OK"))</f>
        <v/>
      </c>
      <c r="O92" s="30"/>
      <c r="P92" s="30"/>
    </row>
    <row r="93" spans="1:16" ht="36" x14ac:dyDescent="0.25">
      <c r="A93" s="22" t="s">
        <v>202</v>
      </c>
      <c r="B93" s="23" t="s">
        <v>203</v>
      </c>
      <c r="C93" s="24" t="s">
        <v>30</v>
      </c>
      <c r="D93" s="25"/>
      <c r="E93" s="25"/>
      <c r="F93" s="26"/>
      <c r="G93" s="26"/>
      <c r="H93" s="26"/>
      <c r="I93" s="26"/>
      <c r="J93" s="26"/>
      <c r="K93" s="27" t="str">
        <f>IF(COUNTA(F93:J93)=5,SUM(F93:J93),"")</f>
        <v/>
      </c>
      <c r="L93" s="27" t="str">
        <f>IF(K93="","",IF(K93&lt;=2,"1 - Ad Hoc",IF(K93&lt;=5,"2 - Defined",IF(K93&lt;=7,"3 - Consistently Implemented",IF(K93&lt;=9,"4 - Managed and Measurable","5 - Optimized")))))</f>
        <v/>
      </c>
      <c r="M93" s="28"/>
      <c r="N93" s="29" t="str">
        <f>IF(OR(L93="",M93=""),"",IF(VALUE(LEFT(L93,1))&lt;VALUE(LEFT(M93,1)),"GAP","OK"))</f>
        <v/>
      </c>
      <c r="O93" s="30"/>
      <c r="P93" s="30"/>
    </row>
    <row r="94" spans="1:16" ht="24" x14ac:dyDescent="0.25">
      <c r="A94" s="31" t="s">
        <v>204</v>
      </c>
      <c r="B94" s="32" t="s">
        <v>205</v>
      </c>
      <c r="C94" s="24" t="s">
        <v>30</v>
      </c>
      <c r="D94" s="25"/>
      <c r="E94" s="25"/>
      <c r="F94" s="26"/>
      <c r="G94" s="26"/>
      <c r="H94" s="26"/>
      <c r="I94" s="26"/>
      <c r="J94" s="26"/>
      <c r="K94" s="27" t="str">
        <f>IF(COUNTA(F94:J94)=5,SUM(F94:J94),"")</f>
        <v/>
      </c>
      <c r="L94" s="27" t="str">
        <f>IF(K94="","",IF(K94&lt;=2,"1 - Ad Hoc",IF(K94&lt;=5,"2 - Defined",IF(K94&lt;=7,"3 - Consistently Implemented",IF(K94&lt;=9,"4 - Managed and Measurable","5 - Optimized")))))</f>
        <v/>
      </c>
      <c r="M94" s="28"/>
      <c r="N94" s="29" t="str">
        <f>IF(OR(L94="",M94=""),"",IF(VALUE(LEFT(L94,1))&lt;VALUE(LEFT(M94,1)),"GAP","OK"))</f>
        <v/>
      </c>
      <c r="O94" s="30"/>
      <c r="P94" s="30"/>
    </row>
    <row r="95" spans="1:16" ht="25.5" x14ac:dyDescent="0.25">
      <c r="A95" s="16" t="s">
        <v>206</v>
      </c>
      <c r="B95" s="17" t="s">
        <v>207</v>
      </c>
      <c r="C95" s="18"/>
      <c r="D95" s="18"/>
      <c r="E95" s="18"/>
      <c r="F95" s="18"/>
      <c r="G95" s="18"/>
      <c r="H95" s="18"/>
      <c r="I95" s="18"/>
      <c r="J95" s="18"/>
      <c r="K95" s="18"/>
      <c r="L95" s="18"/>
      <c r="M95" s="18"/>
      <c r="N95" s="18"/>
      <c r="O95" s="18"/>
      <c r="P95" s="18"/>
    </row>
    <row r="96" spans="1:16" ht="36" x14ac:dyDescent="0.25">
      <c r="A96" s="19" t="s">
        <v>208</v>
      </c>
      <c r="B96" s="20" t="s">
        <v>209</v>
      </c>
      <c r="C96" s="21"/>
      <c r="D96" s="21"/>
      <c r="E96" s="21"/>
      <c r="F96" s="21"/>
      <c r="G96" s="21"/>
      <c r="H96" s="21"/>
      <c r="I96" s="21"/>
      <c r="J96" s="21"/>
      <c r="K96" s="21"/>
      <c r="L96" s="21"/>
      <c r="M96" s="21"/>
      <c r="N96" s="21"/>
      <c r="O96" s="21"/>
      <c r="P96" s="21"/>
    </row>
    <row r="97" spans="1:16" ht="24" x14ac:dyDescent="0.25">
      <c r="A97" s="22" t="s">
        <v>210</v>
      </c>
      <c r="B97" s="23" t="s">
        <v>211</v>
      </c>
      <c r="C97" s="24" t="s">
        <v>30</v>
      </c>
      <c r="D97" s="25"/>
      <c r="E97" s="25"/>
      <c r="F97" s="26"/>
      <c r="G97" s="26"/>
      <c r="H97" s="26"/>
      <c r="I97" s="26"/>
      <c r="J97" s="26"/>
      <c r="K97" s="27" t="str">
        <f>IF(COUNTA(F97:J97)=5,SUM(F97:J97),"")</f>
        <v/>
      </c>
      <c r="L97" s="27" t="str">
        <f>IF(K97="","",IF(K97&lt;=2,"1 - Ad Hoc",IF(K97&lt;=5,"2 - Defined",IF(K97&lt;=7,"3 - Consistently Implemented",IF(K97&lt;=9,"4 - Managed and Measurable","5 - Optimized")))))</f>
        <v/>
      </c>
      <c r="M97" s="28"/>
      <c r="N97" s="29" t="str">
        <f>IF(OR(L97="",M97=""),"",IF(VALUE(LEFT(L97,1))&lt;VALUE(LEFT(M97,1)),"GAP","OK"))</f>
        <v/>
      </c>
      <c r="O97" s="30"/>
      <c r="P97" s="30"/>
    </row>
    <row r="98" spans="1:16" ht="24" x14ac:dyDescent="0.25">
      <c r="A98" s="31" t="s">
        <v>212</v>
      </c>
      <c r="B98" s="32" t="s">
        <v>213</v>
      </c>
      <c r="C98" s="24" t="s">
        <v>30</v>
      </c>
      <c r="D98" s="25"/>
      <c r="E98" s="25"/>
      <c r="F98" s="26"/>
      <c r="G98" s="26"/>
      <c r="H98" s="26"/>
      <c r="I98" s="26"/>
      <c r="J98" s="26"/>
      <c r="K98" s="27" t="str">
        <f>IF(COUNTA(F98:J98)=5,SUM(F98:J98),"")</f>
        <v/>
      </c>
      <c r="L98" s="27" t="str">
        <f>IF(K98="","",IF(K98&lt;=2,"1 - Ad Hoc",IF(K98&lt;=5,"2 - Defined",IF(K98&lt;=7,"3 - Consistently Implemented",IF(K98&lt;=9,"4 - Managed and Measurable","5 - Optimized")))))</f>
        <v/>
      </c>
      <c r="M98" s="28"/>
      <c r="N98" s="29" t="str">
        <f>IF(OR(L98="",M98=""),"",IF(VALUE(LEFT(L98,1))&lt;VALUE(LEFT(M98,1)),"GAP","OK"))</f>
        <v/>
      </c>
      <c r="O98" s="30"/>
      <c r="P98" s="30"/>
    </row>
    <row r="99" spans="1:16" ht="24" x14ac:dyDescent="0.25">
      <c r="A99" s="22" t="s">
        <v>214</v>
      </c>
      <c r="B99" s="23" t="s">
        <v>215</v>
      </c>
      <c r="C99" s="24" t="s">
        <v>30</v>
      </c>
      <c r="D99" s="25"/>
      <c r="E99" s="25"/>
      <c r="F99" s="26"/>
      <c r="G99" s="26"/>
      <c r="H99" s="26"/>
      <c r="I99" s="26"/>
      <c r="J99" s="26"/>
      <c r="K99" s="27" t="str">
        <f>IF(COUNTA(F99:J99)=5,SUM(F99:J99),"")</f>
        <v/>
      </c>
      <c r="L99" s="27" t="str">
        <f>IF(K99="","",IF(K99&lt;=2,"1 - Ad Hoc",IF(K99&lt;=5,"2 - Defined",IF(K99&lt;=7,"3 - Consistently Implemented",IF(K99&lt;=9,"4 - Managed and Measurable","5 - Optimized")))))</f>
        <v/>
      </c>
      <c r="M99" s="28"/>
      <c r="N99" s="29" t="str">
        <f>IF(OR(L99="",M99=""),"",IF(VALUE(LEFT(L99,1))&lt;VALUE(LEFT(M99,1)),"GAP","OK"))</f>
        <v/>
      </c>
      <c r="O99" s="30"/>
      <c r="P99" s="30"/>
    </row>
    <row r="100" spans="1:16" ht="36" x14ac:dyDescent="0.25">
      <c r="A100" s="31" t="s">
        <v>216</v>
      </c>
      <c r="B100" s="32" t="s">
        <v>217</v>
      </c>
      <c r="C100" s="24" t="s">
        <v>30</v>
      </c>
      <c r="D100" s="25"/>
      <c r="E100" s="25"/>
      <c r="F100" s="26"/>
      <c r="G100" s="26"/>
      <c r="H100" s="26"/>
      <c r="I100" s="26"/>
      <c r="J100" s="26"/>
      <c r="K100" s="27" t="str">
        <f>IF(COUNTA(F100:J100)=5,SUM(F100:J100),"")</f>
        <v/>
      </c>
      <c r="L100" s="27" t="str">
        <f>IF(K100="","",IF(K100&lt;=2,"1 - Ad Hoc",IF(K100&lt;=5,"2 - Defined",IF(K100&lt;=7,"3 - Consistently Implemented",IF(K100&lt;=9,"4 - Managed and Measurable","5 - Optimized")))))</f>
        <v/>
      </c>
      <c r="M100" s="28"/>
      <c r="N100" s="29" t="str">
        <f>IF(OR(L100="",M100=""),"",IF(VALUE(LEFT(L100,1))&lt;VALUE(LEFT(M100,1)),"GAP","OK"))</f>
        <v/>
      </c>
      <c r="O100" s="30"/>
      <c r="P100" s="30"/>
    </row>
    <row r="101" spans="1:16" ht="36" x14ac:dyDescent="0.25">
      <c r="A101" s="22" t="s">
        <v>218</v>
      </c>
      <c r="B101" s="23" t="s">
        <v>219</v>
      </c>
      <c r="C101" s="24" t="s">
        <v>30</v>
      </c>
      <c r="D101" s="25"/>
      <c r="E101" s="25"/>
      <c r="F101" s="26"/>
      <c r="G101" s="26"/>
      <c r="H101" s="26"/>
      <c r="I101" s="26"/>
      <c r="J101" s="26"/>
      <c r="K101" s="27" t="str">
        <f>IF(COUNTA(F101:J101)=5,SUM(F101:J101),"")</f>
        <v/>
      </c>
      <c r="L101" s="27" t="str">
        <f>IF(K101="","",IF(K101&lt;=2,"1 - Ad Hoc",IF(K101&lt;=5,"2 - Defined",IF(K101&lt;=7,"3 - Consistently Implemented",IF(K101&lt;=9,"4 - Managed and Measurable","5 - Optimized")))))</f>
        <v/>
      </c>
      <c r="M101" s="28"/>
      <c r="N101" s="29" t="str">
        <f>IF(OR(L101="",M101=""),"",IF(VALUE(LEFT(L101,1))&lt;VALUE(LEFT(M101,1)),"GAP","OK"))</f>
        <v/>
      </c>
      <c r="O101" s="30"/>
      <c r="P101" s="30"/>
    </row>
    <row r="102" spans="1:16" ht="48" x14ac:dyDescent="0.25">
      <c r="A102" s="19" t="s">
        <v>220</v>
      </c>
      <c r="B102" s="20" t="s">
        <v>221</v>
      </c>
      <c r="C102" s="21"/>
      <c r="D102" s="21"/>
      <c r="E102" s="21"/>
      <c r="F102" s="21"/>
      <c r="G102" s="21"/>
      <c r="H102" s="21"/>
      <c r="I102" s="21"/>
      <c r="J102" s="21"/>
      <c r="K102" s="21"/>
      <c r="L102" s="21"/>
      <c r="M102" s="21"/>
      <c r="N102" s="21"/>
      <c r="O102" s="21"/>
      <c r="P102" s="21"/>
    </row>
    <row r="103" spans="1:16" ht="24" x14ac:dyDescent="0.25">
      <c r="A103" s="22" t="s">
        <v>222</v>
      </c>
      <c r="B103" s="23" t="s">
        <v>223</v>
      </c>
      <c r="C103" s="24" t="s">
        <v>30</v>
      </c>
      <c r="D103" s="25"/>
      <c r="E103" s="25"/>
      <c r="F103" s="26"/>
      <c r="G103" s="26"/>
      <c r="H103" s="26"/>
      <c r="I103" s="26"/>
      <c r="J103" s="26"/>
      <c r="K103" s="27" t="str">
        <f t="shared" ref="K103:K110" si="18">IF(COUNTA(F103:J103)=5,SUM(F103:J103),"")</f>
        <v/>
      </c>
      <c r="L103" s="27" t="str">
        <f t="shared" ref="L103:L110" si="19">IF(K103="","",IF(K103&lt;=2,"1 - Ad Hoc",IF(K103&lt;=5,"2 - Defined",IF(K103&lt;=7,"3 - Consistently Implemented",IF(K103&lt;=9,"4 - Managed and Measurable","5 - Optimized")))))</f>
        <v/>
      </c>
      <c r="M103" s="28"/>
      <c r="N103" s="29" t="str">
        <f t="shared" ref="N103:N110" si="20">IF(OR(L103="",M103=""),"",IF(VALUE(LEFT(L103,1))&lt;VALUE(LEFT(M103,1)),"GAP","OK"))</f>
        <v/>
      </c>
      <c r="O103" s="30"/>
      <c r="P103" s="30"/>
    </row>
    <row r="104" spans="1:16" ht="24" x14ac:dyDescent="0.25">
      <c r="A104" s="31" t="s">
        <v>224</v>
      </c>
      <c r="B104" s="32" t="s">
        <v>225</v>
      </c>
      <c r="C104" s="24" t="s">
        <v>30</v>
      </c>
      <c r="D104" s="25"/>
      <c r="E104" s="25"/>
      <c r="F104" s="26"/>
      <c r="G104" s="26"/>
      <c r="H104" s="26"/>
      <c r="I104" s="26"/>
      <c r="J104" s="26"/>
      <c r="K104" s="27" t="str">
        <f t="shared" si="18"/>
        <v/>
      </c>
      <c r="L104" s="27" t="str">
        <f t="shared" si="19"/>
        <v/>
      </c>
      <c r="M104" s="28"/>
      <c r="N104" s="29" t="str">
        <f t="shared" si="20"/>
        <v/>
      </c>
      <c r="O104" s="30"/>
      <c r="P104" s="30"/>
    </row>
    <row r="105" spans="1:16" ht="24" x14ac:dyDescent="0.25">
      <c r="A105" s="22" t="s">
        <v>226</v>
      </c>
      <c r="B105" s="23" t="s">
        <v>227</v>
      </c>
      <c r="C105" s="24" t="s">
        <v>30</v>
      </c>
      <c r="D105" s="25"/>
      <c r="E105" s="25"/>
      <c r="F105" s="26"/>
      <c r="G105" s="26"/>
      <c r="H105" s="26"/>
      <c r="I105" s="26"/>
      <c r="J105" s="26"/>
      <c r="K105" s="27" t="str">
        <f t="shared" si="18"/>
        <v/>
      </c>
      <c r="L105" s="27" t="str">
        <f t="shared" si="19"/>
        <v/>
      </c>
      <c r="M105" s="28"/>
      <c r="N105" s="29" t="str">
        <f t="shared" si="20"/>
        <v/>
      </c>
      <c r="O105" s="30"/>
      <c r="P105" s="30"/>
    </row>
    <row r="106" spans="1:16" ht="24" x14ac:dyDescent="0.25">
      <c r="A106" s="31" t="s">
        <v>228</v>
      </c>
      <c r="B106" s="32" t="s">
        <v>229</v>
      </c>
      <c r="C106" s="24" t="s">
        <v>30</v>
      </c>
      <c r="D106" s="25"/>
      <c r="E106" s="25"/>
      <c r="F106" s="26"/>
      <c r="G106" s="26"/>
      <c r="H106" s="26"/>
      <c r="I106" s="26"/>
      <c r="J106" s="26"/>
      <c r="K106" s="27" t="str">
        <f t="shared" si="18"/>
        <v/>
      </c>
      <c r="L106" s="27" t="str">
        <f t="shared" si="19"/>
        <v/>
      </c>
      <c r="M106" s="28"/>
      <c r="N106" s="29" t="str">
        <f t="shared" si="20"/>
        <v/>
      </c>
      <c r="O106" s="30"/>
      <c r="P106" s="30"/>
    </row>
    <row r="107" spans="1:16" ht="24" x14ac:dyDescent="0.25">
      <c r="A107" s="22" t="s">
        <v>230</v>
      </c>
      <c r="B107" s="23" t="s">
        <v>231</v>
      </c>
      <c r="C107" s="24" t="s">
        <v>30</v>
      </c>
      <c r="D107" s="25"/>
      <c r="E107" s="25"/>
      <c r="F107" s="26"/>
      <c r="G107" s="26"/>
      <c r="H107" s="26"/>
      <c r="I107" s="26"/>
      <c r="J107" s="26"/>
      <c r="K107" s="27" t="str">
        <f t="shared" si="18"/>
        <v/>
      </c>
      <c r="L107" s="27" t="str">
        <f t="shared" si="19"/>
        <v/>
      </c>
      <c r="M107" s="28"/>
      <c r="N107" s="29" t="str">
        <f t="shared" si="20"/>
        <v/>
      </c>
      <c r="O107" s="30"/>
      <c r="P107" s="30"/>
    </row>
    <row r="108" spans="1:16" ht="24" x14ac:dyDescent="0.25">
      <c r="A108" s="31" t="s">
        <v>232</v>
      </c>
      <c r="B108" s="32" t="s">
        <v>233</v>
      </c>
      <c r="C108" s="24" t="s">
        <v>30</v>
      </c>
      <c r="D108" s="25"/>
      <c r="E108" s="25"/>
      <c r="F108" s="26"/>
      <c r="G108" s="26"/>
      <c r="H108" s="26"/>
      <c r="I108" s="26"/>
      <c r="J108" s="26"/>
      <c r="K108" s="27" t="str">
        <f t="shared" si="18"/>
        <v/>
      </c>
      <c r="L108" s="27" t="str">
        <f t="shared" si="19"/>
        <v/>
      </c>
      <c r="M108" s="28"/>
      <c r="N108" s="29" t="str">
        <f t="shared" si="20"/>
        <v/>
      </c>
      <c r="O108" s="30"/>
      <c r="P108" s="30"/>
    </row>
    <row r="109" spans="1:16" ht="24" x14ac:dyDescent="0.25">
      <c r="A109" s="22" t="s">
        <v>234</v>
      </c>
      <c r="B109" s="23" t="s">
        <v>231</v>
      </c>
      <c r="C109" s="24" t="s">
        <v>30</v>
      </c>
      <c r="D109" s="25"/>
      <c r="E109" s="25"/>
      <c r="F109" s="26"/>
      <c r="G109" s="26"/>
      <c r="H109" s="26"/>
      <c r="I109" s="26"/>
      <c r="J109" s="26"/>
      <c r="K109" s="27" t="str">
        <f t="shared" si="18"/>
        <v/>
      </c>
      <c r="L109" s="27" t="str">
        <f t="shared" si="19"/>
        <v/>
      </c>
      <c r="M109" s="28"/>
      <c r="N109" s="29" t="str">
        <f t="shared" si="20"/>
        <v/>
      </c>
      <c r="O109" s="30"/>
      <c r="P109" s="30"/>
    </row>
    <row r="110" spans="1:16" ht="24" x14ac:dyDescent="0.25">
      <c r="A110" s="31" t="s">
        <v>235</v>
      </c>
      <c r="B110" s="32" t="s">
        <v>236</v>
      </c>
      <c r="C110" s="24" t="s">
        <v>30</v>
      </c>
      <c r="D110" s="25"/>
      <c r="E110" s="25"/>
      <c r="F110" s="26"/>
      <c r="G110" s="26"/>
      <c r="H110" s="26"/>
      <c r="I110" s="26"/>
      <c r="J110" s="26"/>
      <c r="K110" s="27" t="str">
        <f t="shared" si="18"/>
        <v/>
      </c>
      <c r="L110" s="27" t="str">
        <f t="shared" si="19"/>
        <v/>
      </c>
      <c r="M110" s="28"/>
      <c r="N110" s="29" t="str">
        <f t="shared" si="20"/>
        <v/>
      </c>
      <c r="O110" s="30"/>
      <c r="P110" s="30"/>
    </row>
    <row r="111" spans="1:16" ht="25.5" x14ac:dyDescent="0.25">
      <c r="A111" s="16" t="s">
        <v>237</v>
      </c>
      <c r="B111" s="17" t="s">
        <v>238</v>
      </c>
      <c r="C111" s="18"/>
      <c r="D111" s="18"/>
      <c r="E111" s="18"/>
      <c r="F111" s="18"/>
      <c r="G111" s="18"/>
      <c r="H111" s="18"/>
      <c r="I111" s="18"/>
      <c r="J111" s="18"/>
      <c r="K111" s="18"/>
      <c r="L111" s="18"/>
      <c r="M111" s="18"/>
      <c r="N111" s="18"/>
      <c r="O111" s="18"/>
      <c r="P111" s="18"/>
    </row>
    <row r="112" spans="1:16" ht="24" x14ac:dyDescent="0.25">
      <c r="A112" s="19" t="s">
        <v>239</v>
      </c>
      <c r="B112" s="20" t="s">
        <v>240</v>
      </c>
      <c r="C112" s="21"/>
      <c r="D112" s="21"/>
      <c r="E112" s="21"/>
      <c r="F112" s="21"/>
      <c r="G112" s="21"/>
      <c r="H112" s="21"/>
      <c r="I112" s="21"/>
      <c r="J112" s="21"/>
      <c r="K112" s="21"/>
      <c r="L112" s="21"/>
      <c r="M112" s="21"/>
      <c r="N112" s="21"/>
      <c r="O112" s="21"/>
      <c r="P112" s="21"/>
    </row>
    <row r="113" spans="1:16" ht="36" x14ac:dyDescent="0.25">
      <c r="A113" s="22" t="s">
        <v>241</v>
      </c>
      <c r="B113" s="23" t="s">
        <v>242</v>
      </c>
      <c r="C113" s="24" t="s">
        <v>30</v>
      </c>
      <c r="D113" s="25"/>
      <c r="E113" s="25"/>
      <c r="F113" s="26"/>
      <c r="G113" s="26"/>
      <c r="H113" s="26"/>
      <c r="I113" s="26"/>
      <c r="J113" s="26"/>
      <c r="K113" s="27" t="str">
        <f>IF(COUNTA(F113:J113)=5,SUM(F113:J113),"")</f>
        <v/>
      </c>
      <c r="L113" s="27" t="str">
        <f>IF(K113="","",IF(K113&lt;=2,"1 - Ad Hoc",IF(K113&lt;=5,"2 - Defined",IF(K113&lt;=7,"3 - Consistently Implemented",IF(K113&lt;=9,"4 - Managed and Measurable","5 - Optimized")))))</f>
        <v/>
      </c>
      <c r="M113" s="28"/>
      <c r="N113" s="29" t="str">
        <f>IF(OR(L113="",M113=""),"",IF(VALUE(LEFT(L113,1))&lt;VALUE(LEFT(M113,1)),"GAP","OK"))</f>
        <v/>
      </c>
      <c r="O113" s="30"/>
      <c r="P113" s="30"/>
    </row>
    <row r="114" spans="1:16" x14ac:dyDescent="0.25">
      <c r="A114" s="31" t="s">
        <v>243</v>
      </c>
      <c r="B114" s="32" t="s">
        <v>244</v>
      </c>
      <c r="C114" s="24" t="s">
        <v>30</v>
      </c>
      <c r="D114" s="25"/>
      <c r="E114" s="25"/>
      <c r="F114" s="26"/>
      <c r="G114" s="26"/>
      <c r="H114" s="26"/>
      <c r="I114" s="26"/>
      <c r="J114" s="26"/>
      <c r="K114" s="27" t="str">
        <f>IF(COUNTA(F114:J114)=5,SUM(F114:J114),"")</f>
        <v/>
      </c>
      <c r="L114" s="27" t="str">
        <f>IF(K114="","",IF(K114&lt;=2,"1 - Ad Hoc",IF(K114&lt;=5,"2 - Defined",IF(K114&lt;=7,"3 - Consistently Implemented",IF(K114&lt;=9,"4 - Managed and Measurable","5 - Optimized")))))</f>
        <v/>
      </c>
      <c r="M114" s="28"/>
      <c r="N114" s="29" t="str">
        <f>IF(OR(L114="",M114=""),"",IF(VALUE(LEFT(L114,1))&lt;VALUE(LEFT(M114,1)),"GAP","OK"))</f>
        <v/>
      </c>
      <c r="O114" s="30"/>
      <c r="P114" s="30"/>
    </row>
    <row r="115" spans="1:16" x14ac:dyDescent="0.25">
      <c r="A115" s="22" t="s">
        <v>245</v>
      </c>
      <c r="B115" s="23" t="s">
        <v>246</v>
      </c>
      <c r="C115" s="24" t="s">
        <v>30</v>
      </c>
      <c r="D115" s="25"/>
      <c r="E115" s="25"/>
      <c r="F115" s="26"/>
      <c r="G115" s="26"/>
      <c r="H115" s="26"/>
      <c r="I115" s="26"/>
      <c r="J115" s="26"/>
      <c r="K115" s="27" t="str">
        <f>IF(COUNTA(F115:J115)=5,SUM(F115:J115),"")</f>
        <v/>
      </c>
      <c r="L115" s="27" t="str">
        <f>IF(K115="","",IF(K115&lt;=2,"1 - Ad Hoc",IF(K115&lt;=5,"2 - Defined",IF(K115&lt;=7,"3 - Consistently Implemented",IF(K115&lt;=9,"4 - Managed and Measurable","5 - Optimized")))))</f>
        <v/>
      </c>
      <c r="M115" s="28"/>
      <c r="N115" s="29" t="str">
        <f>IF(OR(L115="",M115=""),"",IF(VALUE(LEFT(L115,1))&lt;VALUE(LEFT(M115,1)),"GAP","OK"))</f>
        <v/>
      </c>
      <c r="O115" s="30"/>
      <c r="P115" s="30"/>
    </row>
    <row r="116" spans="1:16" ht="24" x14ac:dyDescent="0.25">
      <c r="A116" s="31" t="s">
        <v>247</v>
      </c>
      <c r="B116" s="32" t="s">
        <v>248</v>
      </c>
      <c r="C116" s="24" t="s">
        <v>30</v>
      </c>
      <c r="D116" s="25"/>
      <c r="E116" s="25"/>
      <c r="F116" s="26"/>
      <c r="G116" s="26"/>
      <c r="H116" s="26"/>
      <c r="I116" s="26"/>
      <c r="J116" s="26"/>
      <c r="K116" s="27" t="str">
        <f>IF(COUNTA(F116:J116)=5,SUM(F116:J116),"")</f>
        <v/>
      </c>
      <c r="L116" s="27" t="str">
        <f>IF(K116="","",IF(K116&lt;=2,"1 - Ad Hoc",IF(K116&lt;=5,"2 - Defined",IF(K116&lt;=7,"3 - Consistently Implemented",IF(K116&lt;=9,"4 - Managed and Measurable","5 - Optimized")))))</f>
        <v/>
      </c>
      <c r="M116" s="28"/>
      <c r="N116" s="29" t="str">
        <f>IF(OR(L116="",M116=""),"",IF(VALUE(LEFT(L116,1))&lt;VALUE(LEFT(M116,1)),"GAP","OK"))</f>
        <v/>
      </c>
      <c r="O116" s="30"/>
      <c r="P116" s="30"/>
    </row>
    <row r="117" spans="1:16" ht="24" x14ac:dyDescent="0.25">
      <c r="A117" s="22" t="s">
        <v>249</v>
      </c>
      <c r="B117" s="23" t="s">
        <v>250</v>
      </c>
      <c r="C117" s="24" t="s">
        <v>30</v>
      </c>
      <c r="D117" s="25"/>
      <c r="E117" s="25"/>
      <c r="F117" s="26"/>
      <c r="G117" s="26"/>
      <c r="H117" s="26"/>
      <c r="I117" s="26"/>
      <c r="J117" s="26"/>
      <c r="K117" s="27" t="str">
        <f>IF(COUNTA(F117:J117)=5,SUM(F117:J117),"")</f>
        <v/>
      </c>
      <c r="L117" s="27" t="str">
        <f>IF(K117="","",IF(K117&lt;=2,"1 - Ad Hoc",IF(K117&lt;=5,"2 - Defined",IF(K117&lt;=7,"3 - Consistently Implemented",IF(K117&lt;=9,"4 - Managed and Measurable","5 - Optimized")))))</f>
        <v/>
      </c>
      <c r="M117" s="28"/>
      <c r="N117" s="29" t="str">
        <f>IF(OR(L117="",M117=""),"",IF(VALUE(LEFT(L117,1))&lt;VALUE(LEFT(M117,1)),"GAP","OK"))</f>
        <v/>
      </c>
      <c r="O117" s="30"/>
      <c r="P117" s="30"/>
    </row>
    <row r="118" spans="1:16" ht="36" x14ac:dyDescent="0.25">
      <c r="A118" s="19" t="s">
        <v>251</v>
      </c>
      <c r="B118" s="20" t="s">
        <v>252</v>
      </c>
      <c r="C118" s="21"/>
      <c r="D118" s="21"/>
      <c r="E118" s="21"/>
      <c r="F118" s="21"/>
      <c r="G118" s="21"/>
      <c r="H118" s="21"/>
      <c r="I118" s="21"/>
      <c r="J118" s="21"/>
      <c r="K118" s="21"/>
      <c r="L118" s="21"/>
      <c r="M118" s="21"/>
      <c r="N118" s="21"/>
      <c r="O118" s="21"/>
      <c r="P118" s="21"/>
    </row>
    <row r="119" spans="1:16" ht="36" x14ac:dyDescent="0.25">
      <c r="A119" s="22" t="s">
        <v>253</v>
      </c>
      <c r="B119" s="23" t="s">
        <v>254</v>
      </c>
      <c r="C119" s="24" t="s">
        <v>30</v>
      </c>
      <c r="D119" s="25"/>
      <c r="E119" s="25"/>
      <c r="F119" s="26"/>
      <c r="G119" s="26"/>
      <c r="H119" s="26"/>
      <c r="I119" s="26"/>
      <c r="J119" s="26"/>
      <c r="K119" s="27" t="str">
        <f>IF(COUNTA(F119:J119)=5,SUM(F119:J119),"")</f>
        <v/>
      </c>
      <c r="L119" s="27" t="str">
        <f>IF(K119="","",IF(K119&lt;=2,"1 - Ad Hoc",IF(K119&lt;=5,"2 - Defined",IF(K119&lt;=7,"3 - Consistently Implemented",IF(K119&lt;=9,"4 - Managed and Measurable","5 - Optimized")))))</f>
        <v/>
      </c>
      <c r="M119" s="28"/>
      <c r="N119" s="29" t="str">
        <f>IF(OR(L119="",M119=""),"",IF(VALUE(LEFT(L119,1))&lt;VALUE(LEFT(M119,1)),"GAP","OK"))</f>
        <v/>
      </c>
      <c r="O119" s="30"/>
      <c r="P119" s="30"/>
    </row>
    <row r="120" spans="1:16" ht="36" x14ac:dyDescent="0.25">
      <c r="A120" s="31" t="s">
        <v>255</v>
      </c>
      <c r="B120" s="32" t="s">
        <v>256</v>
      </c>
      <c r="C120" s="24" t="s">
        <v>30</v>
      </c>
      <c r="D120" s="25"/>
      <c r="E120" s="25"/>
      <c r="F120" s="26"/>
      <c r="G120" s="26"/>
      <c r="H120" s="26"/>
      <c r="I120" s="26"/>
      <c r="J120" s="26"/>
      <c r="K120" s="27" t="str">
        <f>IF(COUNTA(F120:J120)=5,SUM(F120:J120),"")</f>
        <v/>
      </c>
      <c r="L120" s="27" t="str">
        <f>IF(K120="","",IF(K120&lt;=2,"1 - Ad Hoc",IF(K120&lt;=5,"2 - Defined",IF(K120&lt;=7,"3 - Consistently Implemented",IF(K120&lt;=9,"4 - Managed and Measurable","5 - Optimized")))))</f>
        <v/>
      </c>
      <c r="M120" s="28"/>
      <c r="N120" s="29" t="str">
        <f>IF(OR(L120="",M120=""),"",IF(VALUE(LEFT(L120,1))&lt;VALUE(LEFT(M120,1)),"GAP","OK"))</f>
        <v/>
      </c>
      <c r="O120" s="30"/>
      <c r="P120" s="30"/>
    </row>
    <row r="121" spans="1:16" ht="24" x14ac:dyDescent="0.25">
      <c r="A121" s="22" t="s">
        <v>257</v>
      </c>
      <c r="B121" s="23" t="s">
        <v>258</v>
      </c>
      <c r="C121" s="24" t="s">
        <v>30</v>
      </c>
      <c r="D121" s="25"/>
      <c r="E121" s="25"/>
      <c r="F121" s="26"/>
      <c r="G121" s="26"/>
      <c r="H121" s="26"/>
      <c r="I121" s="26"/>
      <c r="J121" s="26"/>
      <c r="K121" s="27" t="str">
        <f>IF(COUNTA(F121:J121)=5,SUM(F121:J121),"")</f>
        <v/>
      </c>
      <c r="L121" s="27" t="str">
        <f>IF(K121="","",IF(K121&lt;=2,"1 - Ad Hoc",IF(K121&lt;=5,"2 - Defined",IF(K121&lt;=7,"3 - Consistently Implemented",IF(K121&lt;=9,"4 - Managed and Measurable","5 - Optimized")))))</f>
        <v/>
      </c>
      <c r="M121" s="28"/>
      <c r="N121" s="29" t="str">
        <f>IF(OR(L121="",M121=""),"",IF(VALUE(LEFT(L121,1))&lt;VALUE(LEFT(M121,1)),"GAP","OK"))</f>
        <v/>
      </c>
      <c r="O121" s="30"/>
      <c r="P121" s="30"/>
    </row>
    <row r="122" spans="1:16" ht="24" x14ac:dyDescent="0.25">
      <c r="A122" s="31" t="s">
        <v>259</v>
      </c>
      <c r="B122" s="32" t="s">
        <v>260</v>
      </c>
      <c r="C122" s="24" t="s">
        <v>30</v>
      </c>
      <c r="D122" s="25"/>
      <c r="E122" s="25"/>
      <c r="F122" s="26"/>
      <c r="G122" s="26"/>
      <c r="H122" s="26"/>
      <c r="I122" s="26"/>
      <c r="J122" s="26"/>
      <c r="K122" s="27" t="str">
        <f>IF(COUNTA(F122:J122)=5,SUM(F122:J122),"")</f>
        <v/>
      </c>
      <c r="L122" s="27" t="str">
        <f>IF(K122="","",IF(K122&lt;=2,"1 - Ad Hoc",IF(K122&lt;=5,"2 - Defined",IF(K122&lt;=7,"3 - Consistently Implemented",IF(K122&lt;=9,"4 - Managed and Measurable","5 - Optimized")))))</f>
        <v/>
      </c>
      <c r="M122" s="28"/>
      <c r="N122" s="29" t="str">
        <f>IF(OR(L122="",M122=""),"",IF(VALUE(LEFT(L122,1))&lt;VALUE(LEFT(M122,1)),"GAP","OK"))</f>
        <v/>
      </c>
      <c r="O122" s="30"/>
      <c r="P122" s="30"/>
    </row>
    <row r="123" spans="1:16" ht="36" x14ac:dyDescent="0.25">
      <c r="A123" s="19" t="s">
        <v>261</v>
      </c>
      <c r="B123" s="20" t="s">
        <v>262</v>
      </c>
      <c r="C123" s="21"/>
      <c r="D123" s="21"/>
      <c r="E123" s="21"/>
      <c r="F123" s="21"/>
      <c r="G123" s="21"/>
      <c r="H123" s="21"/>
      <c r="I123" s="21"/>
      <c r="J123" s="21"/>
      <c r="K123" s="21"/>
      <c r="L123" s="21"/>
      <c r="M123" s="21"/>
      <c r="N123" s="21"/>
      <c r="O123" s="21"/>
      <c r="P123" s="21"/>
    </row>
    <row r="124" spans="1:16" ht="24" x14ac:dyDescent="0.25">
      <c r="A124" s="22" t="s">
        <v>263</v>
      </c>
      <c r="B124" s="23" t="s">
        <v>264</v>
      </c>
      <c r="C124" s="24" t="s">
        <v>30</v>
      </c>
      <c r="D124" s="25"/>
      <c r="E124" s="25"/>
      <c r="F124" s="26"/>
      <c r="G124" s="26"/>
      <c r="H124" s="26"/>
      <c r="I124" s="26"/>
      <c r="J124" s="26"/>
      <c r="K124" s="27" t="str">
        <f>IF(COUNTA(F124:J124)=5,SUM(F124:J124),"")</f>
        <v/>
      </c>
      <c r="L124" s="27" t="str">
        <f>IF(K124="","",IF(K124&lt;=2,"1 - Ad Hoc",IF(K124&lt;=5,"2 - Defined",IF(K124&lt;=7,"3 - Consistently Implemented",IF(K124&lt;=9,"4 - Managed and Measurable","5 - Optimized")))))</f>
        <v/>
      </c>
      <c r="M124" s="28"/>
      <c r="N124" s="29" t="str">
        <f>IF(OR(L124="",M124=""),"",IF(VALUE(LEFT(L124,1))&lt;VALUE(LEFT(M124,1)),"GAP","OK"))</f>
        <v/>
      </c>
      <c r="O124" s="30"/>
      <c r="P124" s="30"/>
    </row>
    <row r="125" spans="1:16" ht="24" x14ac:dyDescent="0.25">
      <c r="A125" s="31" t="s">
        <v>265</v>
      </c>
      <c r="B125" s="32" t="s">
        <v>266</v>
      </c>
      <c r="C125" s="24" t="s">
        <v>30</v>
      </c>
      <c r="D125" s="25"/>
      <c r="E125" s="25"/>
      <c r="F125" s="26"/>
      <c r="G125" s="26"/>
      <c r="H125" s="26"/>
      <c r="I125" s="26"/>
      <c r="J125" s="26"/>
      <c r="K125" s="27" t="str">
        <f>IF(COUNTA(F125:J125)=5,SUM(F125:J125),"")</f>
        <v/>
      </c>
      <c r="L125" s="27" t="str">
        <f>IF(K125="","",IF(K125&lt;=2,"1 - Ad Hoc",IF(K125&lt;=5,"2 - Defined",IF(K125&lt;=7,"3 - Consistently Implemented",IF(K125&lt;=9,"4 - Managed and Measurable","5 - Optimized")))))</f>
        <v/>
      </c>
      <c r="M125" s="28"/>
      <c r="N125" s="29" t="str">
        <f>IF(OR(L125="",M125=""),"",IF(VALUE(LEFT(L125,1))&lt;VALUE(LEFT(M125,1)),"GAP","OK"))</f>
        <v/>
      </c>
      <c r="O125" s="30"/>
      <c r="P125" s="30"/>
    </row>
    <row r="126" spans="1:16" ht="36" x14ac:dyDescent="0.25">
      <c r="A126" s="19" t="s">
        <v>267</v>
      </c>
      <c r="B126" s="20" t="s">
        <v>268</v>
      </c>
      <c r="C126" s="21"/>
      <c r="D126" s="21"/>
      <c r="E126" s="21"/>
      <c r="F126" s="21"/>
      <c r="G126" s="21"/>
      <c r="H126" s="21"/>
      <c r="I126" s="21"/>
      <c r="J126" s="21"/>
      <c r="K126" s="21"/>
      <c r="L126" s="21"/>
      <c r="M126" s="21"/>
      <c r="N126" s="21"/>
      <c r="O126" s="21"/>
      <c r="P126" s="21"/>
    </row>
    <row r="127" spans="1:16" x14ac:dyDescent="0.25">
      <c r="A127" s="22" t="s">
        <v>269</v>
      </c>
      <c r="B127" s="23" t="s">
        <v>270</v>
      </c>
      <c r="C127" s="24" t="s">
        <v>30</v>
      </c>
      <c r="D127" s="25"/>
      <c r="E127" s="25"/>
      <c r="F127" s="26"/>
      <c r="G127" s="26"/>
      <c r="H127" s="26"/>
      <c r="I127" s="26"/>
      <c r="J127" s="26"/>
      <c r="K127" s="27" t="str">
        <f>IF(COUNTA(F127:J127)=5,SUM(F127:J127),"")</f>
        <v/>
      </c>
      <c r="L127" s="27" t="str">
        <f>IF(K127="","",IF(K127&lt;=2,"1 - Ad Hoc",IF(K127&lt;=5,"2 - Defined",IF(K127&lt;=7,"3 - Consistently Implemented",IF(K127&lt;=9,"4 - Managed and Measurable","5 - Optimized")))))</f>
        <v/>
      </c>
      <c r="M127" s="28"/>
      <c r="N127" s="29" t="str">
        <f>IF(OR(L127="",M127=""),"",IF(VALUE(LEFT(L127,1))&lt;VALUE(LEFT(M127,1)),"GAP","OK"))</f>
        <v/>
      </c>
      <c r="O127" s="30"/>
      <c r="P127" s="30"/>
    </row>
    <row r="128" spans="1:16" x14ac:dyDescent="0.25">
      <c r="A128" s="31" t="s">
        <v>271</v>
      </c>
      <c r="B128" s="32" t="s">
        <v>272</v>
      </c>
      <c r="C128" s="24" t="s">
        <v>30</v>
      </c>
      <c r="D128" s="25"/>
      <c r="E128" s="25"/>
      <c r="F128" s="26"/>
      <c r="G128" s="26"/>
      <c r="H128" s="26"/>
      <c r="I128" s="26"/>
      <c r="J128" s="26"/>
      <c r="K128" s="27" t="str">
        <f>IF(COUNTA(F128:J128)=5,SUM(F128:J128),"")</f>
        <v/>
      </c>
      <c r="L128" s="27" t="str">
        <f>IF(K128="","",IF(K128&lt;=2,"1 - Ad Hoc",IF(K128&lt;=5,"2 - Defined",IF(K128&lt;=7,"3 - Consistently Implemented",IF(K128&lt;=9,"4 - Managed and Measurable","5 - Optimized")))))</f>
        <v/>
      </c>
      <c r="M128" s="28"/>
      <c r="N128" s="29" t="str">
        <f>IF(OR(L128="",M128=""),"",IF(VALUE(LEFT(L128,1))&lt;VALUE(LEFT(M128,1)),"GAP","OK"))</f>
        <v/>
      </c>
      <c r="O128" s="30"/>
      <c r="P128" s="30"/>
    </row>
    <row r="129" spans="1:16" ht="25.5" x14ac:dyDescent="0.25">
      <c r="A129" s="16" t="s">
        <v>273</v>
      </c>
      <c r="B129" s="17" t="s">
        <v>274</v>
      </c>
      <c r="C129" s="18"/>
      <c r="D129" s="18"/>
      <c r="E129" s="18"/>
      <c r="F129" s="18"/>
      <c r="G129" s="18"/>
      <c r="H129" s="18"/>
      <c r="I129" s="18"/>
      <c r="J129" s="18"/>
      <c r="K129" s="18"/>
      <c r="L129" s="18"/>
      <c r="M129" s="18"/>
      <c r="N129" s="18"/>
      <c r="O129" s="18"/>
      <c r="P129" s="18"/>
    </row>
    <row r="130" spans="1:16" ht="48" x14ac:dyDescent="0.25">
      <c r="A130" s="19" t="s">
        <v>275</v>
      </c>
      <c r="B130" s="20" t="s">
        <v>276</v>
      </c>
      <c r="C130" s="21"/>
      <c r="D130" s="21"/>
      <c r="E130" s="21"/>
      <c r="F130" s="21"/>
      <c r="G130" s="21"/>
      <c r="H130" s="21"/>
      <c r="I130" s="21"/>
      <c r="J130" s="21"/>
      <c r="K130" s="21"/>
      <c r="L130" s="21"/>
      <c r="M130" s="21"/>
      <c r="N130" s="21"/>
      <c r="O130" s="21"/>
      <c r="P130" s="21"/>
    </row>
    <row r="131" spans="1:16" ht="36" x14ac:dyDescent="0.25">
      <c r="A131" s="22" t="s">
        <v>277</v>
      </c>
      <c r="B131" s="23" t="s">
        <v>278</v>
      </c>
      <c r="C131" s="24" t="s">
        <v>30</v>
      </c>
      <c r="D131" s="25"/>
      <c r="E131" s="25"/>
      <c r="F131" s="26"/>
      <c r="G131" s="26"/>
      <c r="H131" s="26"/>
      <c r="I131" s="26"/>
      <c r="J131" s="26"/>
      <c r="K131" s="27" t="str">
        <f t="shared" ref="K131:K136" si="21">IF(COUNTA(F131:J131)=5,SUM(F131:J131),"")</f>
        <v/>
      </c>
      <c r="L131" s="27" t="str">
        <f t="shared" ref="L131:L136" si="22">IF(K131="","",IF(K131&lt;=2,"1 - Ad Hoc",IF(K131&lt;=5,"2 - Defined",IF(K131&lt;=7,"3 - Consistently Implemented",IF(K131&lt;=9,"4 - Managed and Measurable","5 - Optimized")))))</f>
        <v/>
      </c>
      <c r="M131" s="28"/>
      <c r="N131" s="29" t="str">
        <f t="shared" ref="N131:N136" si="23">IF(OR(L131="",M131=""),"",IF(VALUE(LEFT(L131,1))&lt;VALUE(LEFT(M131,1)),"GAP","OK"))</f>
        <v/>
      </c>
      <c r="O131" s="30"/>
      <c r="P131" s="30"/>
    </row>
    <row r="132" spans="1:16" ht="24" x14ac:dyDescent="0.25">
      <c r="A132" s="31" t="s">
        <v>279</v>
      </c>
      <c r="B132" s="32" t="s">
        <v>280</v>
      </c>
      <c r="C132" s="24" t="s">
        <v>30</v>
      </c>
      <c r="D132" s="25"/>
      <c r="E132" s="25"/>
      <c r="F132" s="26"/>
      <c r="G132" s="26"/>
      <c r="H132" s="26"/>
      <c r="I132" s="26"/>
      <c r="J132" s="26"/>
      <c r="K132" s="27" t="str">
        <f t="shared" si="21"/>
        <v/>
      </c>
      <c r="L132" s="27" t="str">
        <f t="shared" si="22"/>
        <v/>
      </c>
      <c r="M132" s="28"/>
      <c r="N132" s="29" t="str">
        <f t="shared" si="23"/>
        <v/>
      </c>
      <c r="O132" s="30"/>
      <c r="P132" s="30"/>
    </row>
    <row r="133" spans="1:16" ht="36" x14ac:dyDescent="0.25">
      <c r="A133" s="22" t="s">
        <v>281</v>
      </c>
      <c r="B133" s="23" t="s">
        <v>282</v>
      </c>
      <c r="C133" s="24" t="s">
        <v>30</v>
      </c>
      <c r="D133" s="25"/>
      <c r="E133" s="25"/>
      <c r="F133" s="26"/>
      <c r="G133" s="26"/>
      <c r="H133" s="26"/>
      <c r="I133" s="26"/>
      <c r="J133" s="26"/>
      <c r="K133" s="27" t="str">
        <f t="shared" si="21"/>
        <v/>
      </c>
      <c r="L133" s="27" t="str">
        <f t="shared" si="22"/>
        <v/>
      </c>
      <c r="M133" s="28"/>
      <c r="N133" s="29" t="str">
        <f t="shared" si="23"/>
        <v/>
      </c>
      <c r="O133" s="30"/>
      <c r="P133" s="30"/>
    </row>
    <row r="134" spans="1:16" ht="36" x14ac:dyDescent="0.25">
      <c r="A134" s="31" t="s">
        <v>283</v>
      </c>
      <c r="B134" s="32" t="s">
        <v>284</v>
      </c>
      <c r="C134" s="24" t="s">
        <v>30</v>
      </c>
      <c r="D134" s="25"/>
      <c r="E134" s="25"/>
      <c r="F134" s="26"/>
      <c r="G134" s="26"/>
      <c r="H134" s="26"/>
      <c r="I134" s="26"/>
      <c r="J134" s="26"/>
      <c r="K134" s="27" t="str">
        <f t="shared" si="21"/>
        <v/>
      </c>
      <c r="L134" s="27" t="str">
        <f t="shared" si="22"/>
        <v/>
      </c>
      <c r="M134" s="28"/>
      <c r="N134" s="29" t="str">
        <f t="shared" si="23"/>
        <v/>
      </c>
      <c r="O134" s="30"/>
      <c r="P134" s="30"/>
    </row>
    <row r="135" spans="1:16" ht="36" x14ac:dyDescent="0.25">
      <c r="A135" s="22" t="s">
        <v>285</v>
      </c>
      <c r="B135" s="23" t="s">
        <v>286</v>
      </c>
      <c r="C135" s="24" t="s">
        <v>30</v>
      </c>
      <c r="D135" s="25"/>
      <c r="E135" s="25"/>
      <c r="F135" s="26"/>
      <c r="G135" s="26"/>
      <c r="H135" s="26"/>
      <c r="I135" s="26"/>
      <c r="J135" s="26"/>
      <c r="K135" s="27" t="str">
        <f t="shared" si="21"/>
        <v/>
      </c>
      <c r="L135" s="27" t="str">
        <f t="shared" si="22"/>
        <v/>
      </c>
      <c r="M135" s="28"/>
      <c r="N135" s="29" t="str">
        <f t="shared" si="23"/>
        <v/>
      </c>
      <c r="O135" s="30"/>
      <c r="P135" s="30"/>
    </row>
    <row r="136" spans="1:16" ht="36" x14ac:dyDescent="0.25">
      <c r="A136" s="31" t="s">
        <v>287</v>
      </c>
      <c r="B136" s="32" t="s">
        <v>288</v>
      </c>
      <c r="C136" s="24" t="s">
        <v>30</v>
      </c>
      <c r="D136" s="25"/>
      <c r="E136" s="25"/>
      <c r="F136" s="26"/>
      <c r="G136" s="26"/>
      <c r="H136" s="26"/>
      <c r="I136" s="26"/>
      <c r="J136" s="26"/>
      <c r="K136" s="27" t="str">
        <f t="shared" si="21"/>
        <v/>
      </c>
      <c r="L136" s="27" t="str">
        <f t="shared" si="22"/>
        <v/>
      </c>
      <c r="M136" s="28"/>
      <c r="N136" s="29" t="str">
        <f t="shared" si="23"/>
        <v/>
      </c>
      <c r="O136" s="30"/>
      <c r="P136" s="30"/>
    </row>
    <row r="137" spans="1:16" ht="24" x14ac:dyDescent="0.25">
      <c r="A137" s="19" t="s">
        <v>289</v>
      </c>
      <c r="B137" s="20" t="s">
        <v>290</v>
      </c>
      <c r="C137" s="21"/>
      <c r="D137" s="21"/>
      <c r="E137" s="21"/>
      <c r="F137" s="21"/>
      <c r="G137" s="21"/>
      <c r="H137" s="21"/>
      <c r="I137" s="21"/>
      <c r="J137" s="21"/>
      <c r="K137" s="21"/>
      <c r="L137" s="21"/>
      <c r="M137" s="21"/>
      <c r="N137" s="21"/>
      <c r="O137" s="21"/>
      <c r="P137" s="21"/>
    </row>
    <row r="138" spans="1:16" ht="36" x14ac:dyDescent="0.25">
      <c r="A138" s="22" t="s">
        <v>291</v>
      </c>
      <c r="B138" s="23" t="s">
        <v>292</v>
      </c>
      <c r="C138" s="24" t="s">
        <v>30</v>
      </c>
      <c r="D138" s="25"/>
      <c r="E138" s="25"/>
      <c r="F138" s="26"/>
      <c r="G138" s="26"/>
      <c r="H138" s="26"/>
      <c r="I138" s="26"/>
      <c r="J138" s="26"/>
      <c r="K138" s="27" t="str">
        <f>IF(COUNTA(F138:J138)=5,SUM(F138:J138),"")</f>
        <v/>
      </c>
      <c r="L138" s="27" t="str">
        <f>IF(K138="","",IF(K138&lt;=2,"1 - Ad Hoc",IF(K138&lt;=5,"2 - Defined",IF(K138&lt;=7,"3 - Consistently Implemented",IF(K138&lt;=9,"4 - Managed and Measurable","5 - Optimized")))))</f>
        <v/>
      </c>
      <c r="M138" s="28"/>
      <c r="N138" s="29" t="str">
        <f>IF(OR(L138="",M138=""),"",IF(VALUE(LEFT(L138,1))&lt;VALUE(LEFT(M138,1)),"GAP","OK"))</f>
        <v/>
      </c>
      <c r="O138" s="30"/>
      <c r="P138" s="30"/>
    </row>
    <row r="139" spans="1:16" ht="36" x14ac:dyDescent="0.25">
      <c r="A139" s="31" t="s">
        <v>293</v>
      </c>
      <c r="B139" s="32" t="s">
        <v>294</v>
      </c>
      <c r="C139" s="24" t="s">
        <v>30</v>
      </c>
      <c r="D139" s="25"/>
      <c r="E139" s="25"/>
      <c r="F139" s="26"/>
      <c r="G139" s="26"/>
      <c r="H139" s="26"/>
      <c r="I139" s="26"/>
      <c r="J139" s="26"/>
      <c r="K139" s="27" t="str">
        <f>IF(COUNTA(F139:J139)=5,SUM(F139:J139),"")</f>
        <v/>
      </c>
      <c r="L139" s="27" t="str">
        <f>IF(K139="","",IF(K139&lt;=2,"1 - Ad Hoc",IF(K139&lt;=5,"2 - Defined",IF(K139&lt;=7,"3 - Consistently Implemented",IF(K139&lt;=9,"4 - Managed and Measurable","5 - Optimized")))))</f>
        <v/>
      </c>
      <c r="M139" s="28"/>
      <c r="N139" s="29" t="str">
        <f>IF(OR(L139="",M139=""),"",IF(VALUE(LEFT(L139,1))&lt;VALUE(LEFT(M139,1)),"GAP","OK"))</f>
        <v/>
      </c>
      <c r="O139" s="30"/>
      <c r="P139" s="30"/>
    </row>
  </sheetData>
  <autoFilter ref="A3:P139" xr:uid="{00000000-0009-0000-0000-000000000000}"/>
  <mergeCells count="7">
    <mergeCell ref="A1:P1"/>
    <mergeCell ref="A2:B2"/>
    <mergeCell ref="D2:E2"/>
    <mergeCell ref="F2:J2"/>
    <mergeCell ref="K2:L2"/>
    <mergeCell ref="M2:N2"/>
    <mergeCell ref="O2:P2"/>
  </mergeCells>
  <conditionalFormatting sqref="C4:C139">
    <cfRule type="cellIs" dxfId="2" priority="4" operator="equal">
      <formula>"No"</formula>
    </cfRule>
  </conditionalFormatting>
  <conditionalFormatting sqref="N4:N139">
    <cfRule type="cellIs" dxfId="1" priority="2" operator="equal">
      <formula>"GAP"</formula>
    </cfRule>
    <cfRule type="cellIs" dxfId="0" priority="3" operator="equal">
      <formula>"OK"</formula>
    </cfRule>
  </conditionalFormatting>
  <dataValidations count="3">
    <dataValidation type="list" allowBlank="1" error="Enter Yes or No" sqref="C6:C10 C12:C18 C20:C23 C25:C26 C28:C30 C32:C41 C44:C50 C52:C61 C63:C66 C69:C74 C76:C77 C79:C82 C84:C89 C91:C94 C97:C101 C103:C110 C113:C117 C119:C122 C124:C125 C127:C128 C131:C136 C138:C139" xr:uid="{00000000-0002-0000-0000-000000000000}">
      <formula1>"Yes,No"</formula1>
      <formula2>0</formula2>
    </dataValidation>
    <dataValidation type="list" allowBlank="1" error="Enter 0, 1, or 2" sqref="F6:J10 F12:J18 F20:J23 F25:J26 F28:J30 F32:J41 F44:J50 F52:J61 F63:J66 F69:J74 F76:J77 F79:J82 F84:J89 F91:J94 F97:J101 F103:J110 F113:J117 F119:J122 F124:J125 F127:J128 F131:J136 F138:J139" xr:uid="{00000000-0002-0000-0000-000001000000}">
      <formula1>"0,1,2"</formula1>
      <formula2>0</formula2>
    </dataValidation>
    <dataValidation type="list" allowBlank="1" sqref="M6:M10 M12:M18 M20:M23 M25:M26 M28:M30 M32:M41 M44:M50 M52:M61 M63:M66 M69:M74 M76:M77 M79:M82 M84:M89 M91:M94 M97:M101 M103:M110 M113:M117 M119:M122 M124:M125 M127:M128 M131:M136 M138:M139" xr:uid="{00000000-0002-0000-0000-000002000000}">
      <formula1>"1 - Ad Hoc,2 - Defined,3 - Consistently Implemented,4 - Managed and Measurable,5 - Optimized"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8F00"/>
  </sheetPr>
  <dimension ref="A1:F16"/>
  <sheetViews>
    <sheetView zoomScaleNormal="100" workbookViewId="0"/>
  </sheetViews>
  <sheetFormatPr defaultColWidth="8.7109375" defaultRowHeight="15" x14ac:dyDescent="0.25"/>
  <cols>
    <col min="1" max="1" width="12" customWidth="1"/>
    <col min="2" max="2" width="20" customWidth="1"/>
    <col min="3" max="3" width="40" customWidth="1"/>
    <col min="4" max="6" width="18" customWidth="1"/>
  </cols>
  <sheetData>
    <row r="1" spans="1:6" ht="18" x14ac:dyDescent="0.25">
      <c r="A1" s="6" t="s">
        <v>295</v>
      </c>
      <c r="B1" s="6"/>
      <c r="C1" s="6"/>
      <c r="D1" s="6"/>
      <c r="E1" s="6"/>
      <c r="F1" s="6"/>
    </row>
    <row r="3" spans="1:6" x14ac:dyDescent="0.25">
      <c r="A3" s="15" t="s">
        <v>296</v>
      </c>
      <c r="B3" s="15" t="s">
        <v>297</v>
      </c>
      <c r="C3" s="15" t="s">
        <v>298</v>
      </c>
      <c r="D3" s="15" t="s">
        <v>299</v>
      </c>
      <c r="E3" s="15" t="s">
        <v>300</v>
      </c>
      <c r="F3" s="15" t="s">
        <v>301</v>
      </c>
    </row>
    <row r="4" spans="1:6" ht="25.5" x14ac:dyDescent="0.25">
      <c r="A4" s="33" t="s">
        <v>302</v>
      </c>
      <c r="B4" s="33" t="s">
        <v>303</v>
      </c>
      <c r="C4" s="34" t="s">
        <v>304</v>
      </c>
      <c r="D4" s="34" t="s">
        <v>305</v>
      </c>
      <c r="E4" s="34" t="s">
        <v>306</v>
      </c>
      <c r="F4" s="34" t="s">
        <v>307</v>
      </c>
    </row>
    <row r="5" spans="1:6" ht="25.5" x14ac:dyDescent="0.25">
      <c r="A5" s="35" t="s">
        <v>308</v>
      </c>
      <c r="B5" s="35" t="s">
        <v>309</v>
      </c>
      <c r="C5" s="36" t="s">
        <v>310</v>
      </c>
      <c r="D5" s="36" t="s">
        <v>311</v>
      </c>
      <c r="E5" s="36" t="s">
        <v>312</v>
      </c>
      <c r="F5" s="36" t="s">
        <v>313</v>
      </c>
    </row>
    <row r="6" spans="1:6" ht="25.5" x14ac:dyDescent="0.25">
      <c r="A6" s="33" t="s">
        <v>314</v>
      </c>
      <c r="B6" s="33" t="s">
        <v>315</v>
      </c>
      <c r="C6" s="34" t="s">
        <v>316</v>
      </c>
      <c r="D6" s="34" t="s">
        <v>317</v>
      </c>
      <c r="E6" s="34" t="s">
        <v>318</v>
      </c>
      <c r="F6" s="34" t="s">
        <v>319</v>
      </c>
    </row>
    <row r="7" spans="1:6" ht="25.5" x14ac:dyDescent="0.25">
      <c r="A7" s="35" t="s">
        <v>320</v>
      </c>
      <c r="B7" s="35" t="s">
        <v>321</v>
      </c>
      <c r="C7" s="36" t="s">
        <v>322</v>
      </c>
      <c r="D7" s="36" t="s">
        <v>323</v>
      </c>
      <c r="E7" s="36" t="s">
        <v>324</v>
      </c>
      <c r="F7" s="36" t="s">
        <v>325</v>
      </c>
    </row>
    <row r="8" spans="1:6" ht="25.5" x14ac:dyDescent="0.25">
      <c r="A8" s="33" t="s">
        <v>326</v>
      </c>
      <c r="B8" s="33" t="s">
        <v>327</v>
      </c>
      <c r="C8" s="34" t="s">
        <v>328</v>
      </c>
      <c r="D8" s="34" t="s">
        <v>329</v>
      </c>
      <c r="E8" s="34" t="s">
        <v>330</v>
      </c>
      <c r="F8" s="34" t="s">
        <v>331</v>
      </c>
    </row>
    <row r="11" spans="1:6" ht="15.75" x14ac:dyDescent="0.25">
      <c r="A11" s="37" t="s">
        <v>332</v>
      </c>
    </row>
    <row r="13" spans="1:6" ht="24" x14ac:dyDescent="0.25">
      <c r="A13" s="15" t="s">
        <v>333</v>
      </c>
      <c r="B13" s="15" t="s">
        <v>299</v>
      </c>
      <c r="C13" s="15" t="s">
        <v>300</v>
      </c>
      <c r="D13" s="15" t="s">
        <v>334</v>
      </c>
      <c r="E13" s="15" t="s">
        <v>335</v>
      </c>
      <c r="F13" s="15" t="s">
        <v>336</v>
      </c>
    </row>
    <row r="14" spans="1:6" ht="25.5" x14ac:dyDescent="0.25">
      <c r="A14" s="33" t="s">
        <v>337</v>
      </c>
      <c r="B14" s="34" t="s">
        <v>338</v>
      </c>
      <c r="C14" s="34" t="s">
        <v>339</v>
      </c>
      <c r="D14" s="34" t="s">
        <v>307</v>
      </c>
      <c r="E14" s="34" t="s">
        <v>340</v>
      </c>
      <c r="F14" s="34" t="s">
        <v>341</v>
      </c>
    </row>
    <row r="15" spans="1:6" ht="25.5" x14ac:dyDescent="0.25">
      <c r="A15" s="33" t="s">
        <v>342</v>
      </c>
      <c r="B15" s="34" t="s">
        <v>343</v>
      </c>
      <c r="C15" s="34" t="s">
        <v>344</v>
      </c>
      <c r="D15" s="34" t="s">
        <v>345</v>
      </c>
      <c r="E15" s="34" t="s">
        <v>346</v>
      </c>
      <c r="F15" s="34" t="s">
        <v>347</v>
      </c>
    </row>
    <row r="16" spans="1:6" ht="25.5" x14ac:dyDescent="0.25">
      <c r="A16" s="33" t="s">
        <v>348</v>
      </c>
      <c r="B16" s="34" t="s">
        <v>349</v>
      </c>
      <c r="C16" s="34" t="s">
        <v>350</v>
      </c>
      <c r="D16" s="34" t="s">
        <v>351</v>
      </c>
      <c r="E16" s="34" t="s">
        <v>325</v>
      </c>
      <c r="F16" s="34" t="s">
        <v>352</v>
      </c>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100"/>
  </sheetPr>
  <dimension ref="A1:D13"/>
  <sheetViews>
    <sheetView zoomScaleNormal="100" workbookViewId="0"/>
  </sheetViews>
  <sheetFormatPr defaultColWidth="8.7109375" defaultRowHeight="15" x14ac:dyDescent="0.25"/>
  <cols>
    <col min="1" max="1" width="7" customWidth="1"/>
    <col min="2" max="2" width="32" customWidth="1"/>
    <col min="3" max="3" width="18" customWidth="1"/>
    <col min="4" max="4" width="35" customWidth="1"/>
  </cols>
  <sheetData>
    <row r="1" spans="1:4" ht="18" x14ac:dyDescent="0.25">
      <c r="A1" s="6" t="s">
        <v>353</v>
      </c>
      <c r="B1" s="6"/>
      <c r="C1" s="6"/>
      <c r="D1" s="6"/>
    </row>
    <row r="2" spans="1:4" ht="22.35" customHeight="1" x14ac:dyDescent="0.25">
      <c r="A2" s="5" t="s">
        <v>354</v>
      </c>
      <c r="B2" s="5"/>
      <c r="C2" s="5"/>
      <c r="D2" s="5"/>
    </row>
    <row r="4" spans="1:4" x14ac:dyDescent="0.25">
      <c r="A4" s="15" t="s">
        <v>355</v>
      </c>
      <c r="B4" s="15" t="s">
        <v>356</v>
      </c>
      <c r="C4" s="15" t="s">
        <v>357</v>
      </c>
      <c r="D4" s="15" t="s">
        <v>358</v>
      </c>
    </row>
    <row r="5" spans="1:4" x14ac:dyDescent="0.25">
      <c r="A5" s="38" t="s">
        <v>359</v>
      </c>
      <c r="B5" s="38" t="s">
        <v>360</v>
      </c>
      <c r="C5" s="39" t="s">
        <v>361</v>
      </c>
      <c r="D5" s="39" t="s">
        <v>362</v>
      </c>
    </row>
    <row r="6" spans="1:4" ht="25.5" x14ac:dyDescent="0.25">
      <c r="A6" s="40" t="s">
        <v>363</v>
      </c>
      <c r="B6" s="40" t="s">
        <v>364</v>
      </c>
      <c r="C6" s="41" t="s">
        <v>365</v>
      </c>
      <c r="D6" s="41" t="s">
        <v>366</v>
      </c>
    </row>
    <row r="7" spans="1:4" x14ac:dyDescent="0.25">
      <c r="A7" s="40" t="s">
        <v>367</v>
      </c>
      <c r="B7" s="40" t="s">
        <v>368</v>
      </c>
      <c r="C7" s="41" t="s">
        <v>369</v>
      </c>
      <c r="D7" s="41" t="s">
        <v>370</v>
      </c>
    </row>
    <row r="8" spans="1:4" ht="25.5" x14ac:dyDescent="0.25">
      <c r="A8" s="42" t="s">
        <v>371</v>
      </c>
      <c r="B8" s="42" t="s">
        <v>372</v>
      </c>
      <c r="C8" s="43" t="s">
        <v>373</v>
      </c>
      <c r="D8" s="43" t="s">
        <v>374</v>
      </c>
    </row>
    <row r="9" spans="1:4" ht="38.25" x14ac:dyDescent="0.25">
      <c r="A9" s="38" t="s">
        <v>375</v>
      </c>
      <c r="B9" s="38" t="s">
        <v>376</v>
      </c>
      <c r="C9" s="39" t="s">
        <v>377</v>
      </c>
      <c r="D9" s="39" t="s">
        <v>378</v>
      </c>
    </row>
    <row r="10" spans="1:4" ht="38.25" x14ac:dyDescent="0.25">
      <c r="A10" s="35" t="s">
        <v>379</v>
      </c>
      <c r="B10" s="35" t="s">
        <v>380</v>
      </c>
      <c r="C10" s="36" t="s">
        <v>381</v>
      </c>
      <c r="D10" s="36" t="s">
        <v>382</v>
      </c>
    </row>
    <row r="13" spans="1:4" ht="23.85" customHeight="1" x14ac:dyDescent="0.25">
      <c r="A13" s="4" t="s">
        <v>383</v>
      </c>
      <c r="B13" s="4"/>
      <c r="C13" s="4"/>
      <c r="D13" s="4"/>
    </row>
  </sheetData>
  <mergeCells count="3">
    <mergeCell ref="A1:D1"/>
    <mergeCell ref="A2:D2"/>
    <mergeCell ref="A13:D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Enterprise Profile</vt:lpstr>
      <vt:lpstr>Threshold Reference</vt:lpstr>
      <vt:lpstr>Roll-Up Decision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Eugene Powell</cp:lastModifiedBy>
  <cp:revision>0</cp:revision>
  <dcterms:created xsi:type="dcterms:W3CDTF">2026-03-14T15:17:53Z</dcterms:created>
  <dcterms:modified xsi:type="dcterms:W3CDTF">2026-03-14T15:21:25Z</dcterms:modified>
  <dc:language>en-US</dc:language>
</cp:coreProperties>
</file>