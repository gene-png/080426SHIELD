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onitc-my.sharepoint.us/personal/eugene_powell_kentro_us/Documents/Projects/DOC/Updated Methodolgy/2. Interview Steps/"/>
    </mc:Choice>
  </mc:AlternateContent>
  <xr:revisionPtr revIDLastSave="0" documentId="8_{4BFAAA32-B33E-4B51-A5F4-CD13D923853A}" xr6:coauthVersionLast="47" xr6:coauthVersionMax="47" xr10:uidLastSave="{00000000-0000-0000-0000-000000000000}"/>
  <bookViews>
    <workbookView xWindow="-28920" yWindow="-120" windowWidth="29040" windowHeight="15720" tabRatio="500" activeTab="1" xr2:uid="{00000000-000D-0000-FFFF-FFFF00000000}"/>
  </bookViews>
  <sheets>
    <sheet name="Instructions" sheetId="1" r:id="rId1"/>
    <sheet name="Working Profile" sheetId="2" r:id="rId2"/>
    <sheet name="Reference Data" sheetId="3" r:id="rId3"/>
  </sheets>
  <definedNames>
    <definedName name="_xlnm._FilterDatabase" localSheetId="2" hidden="1">'Reference Data'!$A$2:$L$125</definedName>
    <definedName name="_xlnm._FilterDatabase" localSheetId="1" hidden="1">'Working Profile'!$A$2:$I$138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8" i="2" l="1"/>
  <c r="H137" i="2"/>
  <c r="H135" i="2"/>
  <c r="H134" i="2"/>
  <c r="H133" i="2"/>
  <c r="H132" i="2"/>
  <c r="H131" i="2"/>
  <c r="H130" i="2"/>
  <c r="H127" i="2"/>
  <c r="H126" i="2"/>
  <c r="H124" i="2"/>
  <c r="H123" i="2"/>
  <c r="H121" i="2"/>
  <c r="H120" i="2"/>
  <c r="H119" i="2"/>
  <c r="H118" i="2"/>
  <c r="H116" i="2"/>
  <c r="H115" i="2"/>
  <c r="H114" i="2"/>
  <c r="H113" i="2"/>
  <c r="H112" i="2"/>
  <c r="H109" i="2"/>
  <c r="H108" i="2"/>
  <c r="H107" i="2"/>
  <c r="H106" i="2"/>
  <c r="H105" i="2"/>
  <c r="H104" i="2"/>
  <c r="H103" i="2"/>
  <c r="H102" i="2"/>
  <c r="H100" i="2"/>
  <c r="H99" i="2"/>
  <c r="H98" i="2"/>
  <c r="H97" i="2"/>
  <c r="H96" i="2"/>
  <c r="H93" i="2"/>
  <c r="H92" i="2"/>
  <c r="H91" i="2"/>
  <c r="H90" i="2"/>
  <c r="H88" i="2"/>
  <c r="H87" i="2"/>
  <c r="H86" i="2"/>
  <c r="H85" i="2"/>
  <c r="H84" i="2"/>
  <c r="H83" i="2"/>
  <c r="H81" i="2"/>
  <c r="H80" i="2"/>
  <c r="H79" i="2"/>
  <c r="H78" i="2"/>
  <c r="H76" i="2"/>
  <c r="H75" i="2"/>
  <c r="H73" i="2"/>
  <c r="H72" i="2"/>
  <c r="H71" i="2"/>
  <c r="H70" i="2"/>
  <c r="H69" i="2"/>
  <c r="H68" i="2"/>
  <c r="H65" i="2"/>
  <c r="H64" i="2"/>
  <c r="H63" i="2"/>
  <c r="H62" i="2"/>
  <c r="H60" i="2"/>
  <c r="H59" i="2"/>
  <c r="H58" i="2"/>
  <c r="H57" i="2"/>
  <c r="H56" i="2"/>
  <c r="H55" i="2"/>
  <c r="H54" i="2"/>
  <c r="H53" i="2"/>
  <c r="H52" i="2"/>
  <c r="H51" i="2"/>
  <c r="H49" i="2"/>
  <c r="H48" i="2"/>
  <c r="H47" i="2"/>
  <c r="H46" i="2"/>
  <c r="H45" i="2"/>
  <c r="H44" i="2"/>
  <c r="H43" i="2"/>
  <c r="H40" i="2"/>
  <c r="H39" i="2"/>
  <c r="H38" i="2"/>
  <c r="H37" i="2"/>
  <c r="H36" i="2"/>
  <c r="H35" i="2"/>
  <c r="H34" i="2"/>
  <c r="H33" i="2"/>
  <c r="H32" i="2"/>
  <c r="H31" i="2"/>
  <c r="H29" i="2"/>
  <c r="H28" i="2"/>
  <c r="H27" i="2"/>
  <c r="H25" i="2"/>
  <c r="H24" i="2"/>
  <c r="H22" i="2"/>
  <c r="H21" i="2"/>
  <c r="H20" i="2"/>
  <c r="H19" i="2"/>
  <c r="H17" i="2"/>
  <c r="H16" i="2"/>
  <c r="H15" i="2"/>
  <c r="H14" i="2"/>
  <c r="H13" i="2"/>
  <c r="H12" i="2"/>
  <c r="H11" i="2"/>
  <c r="H9" i="2"/>
  <c r="H8" i="2"/>
  <c r="H7" i="2"/>
  <c r="H6" i="2"/>
  <c r="H5" i="2"/>
</calcChain>
</file>

<file path=xl/sharedStrings.xml><?xml version="1.0" encoding="utf-8"?>
<sst xmlns="http://schemas.openxmlformats.org/spreadsheetml/2006/main" count="1758" uniqueCount="579">
  <si>
    <t>INTERVIEW PROCESS (for assessment team)</t>
  </si>
  <si>
    <t>POST INTERVIEW INSTRUCTIONS</t>
  </si>
  <si>
    <t>Step A — Send the pre-interview questionnaire to the ISSO at least 5 business days before the interview. This gives them time to gather artifacts and think through their responses.</t>
  </si>
  <si>
    <t xml:space="preserve">STEP 1: SCORE CURRENT MATURITY </t>
  </si>
  <si>
    <t>Step B — Conduct the interview with two people:</t>
  </si>
  <si>
    <t>Once you have findings and evidence for a subcategory, assign a maturity level in Column F.</t>
  </si>
  <si>
    <t xml:space="preserve">   •  Person 1 (Interviewer): Asks questions from the questionnaire. Follows the cues. Stays conversational.</t>
  </si>
  <si>
    <t>Level 1 — Ad Hoc</t>
  </si>
  <si>
    <t xml:space="preserve">   •  Person 2 (Recorder): Has the Reference Data tab open. Follows along question by question, top to bottom. Captures "What We Found" notes and flags which evidence was referenced.</t>
  </si>
  <si>
    <t>Activities are informal, reactive, and undocumented.</t>
  </si>
  <si>
    <t>Do NOT try to score maturity during the interview — just captures what was said.</t>
  </si>
  <si>
    <t>Level 2 — Defined</t>
  </si>
  <si>
    <t>Step C — Same-day reconciliation (within 1 hour of interview):</t>
  </si>
  <si>
    <t>Policies and procedures exist but are not consistently followed.</t>
  </si>
  <si>
    <t xml:space="preserve">   •  Person 1 and Person 2 sit down together while the conversation is fresh.</t>
  </si>
  <si>
    <t>Level 3 — Consistently Implemented</t>
  </si>
  <si>
    <t xml:space="preserve">   •  Clean up the "What We Found" narratives in the Working Profile (Column D).</t>
  </si>
  <si>
    <t>Processes are in place enterprise-wide and working as intended.</t>
  </si>
  <si>
    <t xml:space="preserve">   •  Confirm what evidence was cited and log it in Column E.</t>
  </si>
  <si>
    <t>Level 4 — Managed and Measurable</t>
  </si>
  <si>
    <t xml:space="preserve">   •  Assign a preliminary maturity score in Column F (mark as draft — it may change after other interviews).</t>
  </si>
  <si>
    <t>Metrics are tracked and effectiveness is regularly evaluated.</t>
  </si>
  <si>
    <t>Step D — Send a brief summary back to the ISSO within 48 hours:</t>
  </si>
  <si>
    <t>Level 5 — Optimized</t>
  </si>
  <si>
    <t xml:space="preserve">   •  One page: "Here is what we heard. Here is what evidence we are expecting from you. Please let us know if we misunderstood anything."</t>
  </si>
  <si>
    <t>Continuous improvement is embedded. Controls adapt based on risk and lessons learned.</t>
  </si>
  <si>
    <t xml:space="preserve">   •  This creates a paper trail and prompts them to send promised artifacts.</t>
  </si>
  <si>
    <t>Rule: If you cannot produce evidence for a capability, the score cannot exceed Level 2.</t>
  </si>
  <si>
    <t>Step E — Cross-interview reconciliation (after all interviews for a tier are complete):</t>
  </si>
  <si>
    <t xml:space="preserve">   •  Review each subcategory across all interviews. Did every ISSO tell the same story?</t>
  </si>
  <si>
    <t xml:space="preserve">   •  Resolve conflicts. The enterprise score must reflect the full picture, not one system.</t>
  </si>
  <si>
    <t xml:space="preserve">   •  Lock maturity scores once reconciled.</t>
  </si>
  <si>
    <t>Tip: The Reference Data tab is ordered by interview question (H-Q1 through H-Q15), not by CSF hierarchy. This means Person 2 can follow it top to bottom during the interview without jumping around.</t>
  </si>
  <si>
    <t>DOC OCIO — CSF 2.0 Organizational Profile: MODERATE IMPACT SYSTEMS</t>
  </si>
  <si>
    <t>ID</t>
  </si>
  <si>
    <t>Description</t>
  </si>
  <si>
    <t>In Scope?</t>
  </si>
  <si>
    <t>What We Found</t>
  </si>
  <si>
    <t>Evidence / Artifacts</t>
  </si>
  <si>
    <t>Current
Maturity
(1-5)</t>
  </si>
  <si>
    <t>Target
Maturity
(1-5)</t>
  </si>
  <si>
    <t>Gap?</t>
  </si>
  <si>
    <t>Notes</t>
  </si>
  <si>
    <t>GV</t>
  </si>
  <si>
    <t>The organization's cybersecurity risk management strategy, expectations, and policy are established, communicated, and monitored</t>
  </si>
  <si>
    <t>GV.OC</t>
  </si>
  <si>
    <t>The circumstances - mission, stakeholder expectations, dependencies, and legal, regulatory, and contractual requirements - surrounding the organization's cybersecurity risk management decisions are understood</t>
  </si>
  <si>
    <t>GV.OC-01</t>
  </si>
  <si>
    <t>The organizational mission is understood and informs cybersecurity risk management</t>
  </si>
  <si>
    <t>Yes</t>
  </si>
  <si>
    <t>GV.OC-02</t>
  </si>
  <si>
    <t>Internal and external stakeholders are understood, and their needs and expectations regarding cybersecurity risk management are understood and considered</t>
  </si>
  <si>
    <t>GV.OC-03</t>
  </si>
  <si>
    <t>Legal, regulatory, and contractual requirements regarding cybersecurity - including privacy and civil liberties obligations - are understood and managed</t>
  </si>
  <si>
    <t>GV.OC-04</t>
  </si>
  <si>
    <t>Critical objectives, capabilities, and services that stakeholders depend on or expect from the organization are understood and communicated</t>
  </si>
  <si>
    <t>GV.OC-05</t>
  </si>
  <si>
    <t>Outcomes, capabilities, and services that the organization depends on are understood and communicated</t>
  </si>
  <si>
    <t>GV.RM</t>
  </si>
  <si>
    <t>The organization's priorities, constraints, risk tolerance and appetite statements, and assumptions are established, communicated, and used to support operational risk decisions</t>
  </si>
  <si>
    <t>GV.RM-01</t>
  </si>
  <si>
    <t>Risk management objectives are established and agreed to by organizational stakeholders</t>
  </si>
  <si>
    <t>GV.RM-02</t>
  </si>
  <si>
    <t>Risk appetite and risk tolerance statements are established, communicated, and maintained</t>
  </si>
  <si>
    <t>GV.RM-03</t>
  </si>
  <si>
    <t>Cybersecurity risk management activities and outcomes are included in enterprise risk management processes</t>
  </si>
  <si>
    <t>GV.RM-04</t>
  </si>
  <si>
    <t>Strategic direction that describes appropriate risk response options is established and communicated</t>
  </si>
  <si>
    <t>GV.RM-05</t>
  </si>
  <si>
    <t>Lines of communication across the organization are established for cybersecurity risks, including risks from suppliers and other third parties</t>
  </si>
  <si>
    <t>GV.RM-06</t>
  </si>
  <si>
    <t>A standardized method for calculating, documenting, categorizing, and prioritizing cybersecurity risks is established and communicated</t>
  </si>
  <si>
    <t>GV.RM-07</t>
  </si>
  <si>
    <t>Strategic opportunities (i.e., positive risks) are characterized and are included in organizational cybersecurity risk discussions</t>
  </si>
  <si>
    <t>GV.RR</t>
  </si>
  <si>
    <t>Cybersecurity roles, responsibilities, and authorities to foster accountability, performance assessment, and continuous improvement are established and communicated</t>
  </si>
  <si>
    <t>GV.RR-01</t>
  </si>
  <si>
    <t>Organizational leadership is responsible and accountable for cybersecurity risk and fosters a culture that is risk-aware, ethical, and continually improving</t>
  </si>
  <si>
    <t>GV.RR-02</t>
  </si>
  <si>
    <t>Roles, responsibilities, and authorities related to cybersecurity risk management are established, communicated, understood, and enforced</t>
  </si>
  <si>
    <t>GV.RR-03</t>
  </si>
  <si>
    <t>Adequate resources are allocated commensurate with the cybersecurity risk strategy, roles, responsibilities, and policies</t>
  </si>
  <si>
    <t>GV.RR-04</t>
  </si>
  <si>
    <t>Cybersecurity is included in human resources practices</t>
  </si>
  <si>
    <t>GV.PO</t>
  </si>
  <si>
    <t>Organizational cybersecurity policy is established, communicated, and enforced</t>
  </si>
  <si>
    <t>GV.PO-01</t>
  </si>
  <si>
    <t>Policy for managing cybersecurity risks is established based on organizational context, cybersecurity strategy, and priorities and is communicated and enforced</t>
  </si>
  <si>
    <t>GV.PO-02</t>
  </si>
  <si>
    <t>Policy for managing cybersecurity risks is reviewed, updated, communicated, and enforced to reflect changes in requirements, threats, technology, and organizational mission</t>
  </si>
  <si>
    <t>GV.OV</t>
  </si>
  <si>
    <t>Results of organization-wide cybersecurity risk management activities and performance are used to inform, improve, and adjust the risk management strategy</t>
  </si>
  <si>
    <t>GV.OV-01</t>
  </si>
  <si>
    <t>Cybersecurity risk management strategy outcomes are reviewed to inform and adjust strategy and direction</t>
  </si>
  <si>
    <t>GV.OV-02</t>
  </si>
  <si>
    <t>The cybersecurity risk management strategy is reviewed and adjusted to ensure coverage of organizational requirements and risks</t>
  </si>
  <si>
    <t>GV.OV-03</t>
  </si>
  <si>
    <t>Organizational cybersecurity risk management performance is evaluated and reviewed for adjustments needed</t>
  </si>
  <si>
    <t>GV.SC</t>
  </si>
  <si>
    <t>Cyber supply chain risk management processes are identified, established, managed, monitored, and improved by organizational stakeholders</t>
  </si>
  <si>
    <t>GV.SC-01</t>
  </si>
  <si>
    <t>A cybersecurity supply chain risk management program, strategy, objectives, policies, and processes are established and agreed to by organizational stakeholders</t>
  </si>
  <si>
    <t>GV.SC-02</t>
  </si>
  <si>
    <t>Cybersecurity roles and responsibilities for suppliers, customers, and partners are established, communicated, and coordinated internally and externally</t>
  </si>
  <si>
    <t>GV.SC-03</t>
  </si>
  <si>
    <t>Cybersecurity supply chain risk management is integrated into cybersecurity and enterprise risk management, risk assessment, and improvement processes</t>
  </si>
  <si>
    <t>GV.SC-04</t>
  </si>
  <si>
    <t>Suppliers are known and prioritized by criticality</t>
  </si>
  <si>
    <t>GV.SC-05</t>
  </si>
  <si>
    <t>Requirements to address cybersecurity risks in supply chains are established, prioritized, and integrated into contracts and other types of agreements with suppliers and other relevant third parties</t>
  </si>
  <si>
    <t>GV.SC-06</t>
  </si>
  <si>
    <t>Planning and due diligence are performed to reduce risks before entering into formal supplier or other third-party relationships</t>
  </si>
  <si>
    <t>GV.SC-07</t>
  </si>
  <si>
    <t>The risks posed by a supplier, their products and services, and other third parties are understood, recorded, prioritized, assessed, responded to, and monitored over the course of the relationship</t>
  </si>
  <si>
    <t>GV.SC-08</t>
  </si>
  <si>
    <t>Relevant suppliers and other third parties are included in incident planning, response, and recovery activities</t>
  </si>
  <si>
    <t>GV.SC-09</t>
  </si>
  <si>
    <t>Supply chain security practices are integrated into cybersecurity and enterprise risk management programs, and their performance is monitored throughout the technology product and service life cycle</t>
  </si>
  <si>
    <t>GV.SC-10</t>
  </si>
  <si>
    <t>Cybersecurity supply chain risk management plans include provisions for activities that occur after the conclusion of a partnership or service agreement</t>
  </si>
  <si>
    <t>The organization's current cybersecurity risks are understood</t>
  </si>
  <si>
    <t>ID.AM</t>
  </si>
  <si>
    <t>Assets (e.g., data, hardware, software, systems, facilities, services, people) that enable the organization to achieve business purposes are identified and managed consistent with their relative importance to organizational objectives and the organization's risk strategy</t>
  </si>
  <si>
    <t>ID.AM-01</t>
  </si>
  <si>
    <t>Inventories of hardware managed by the organization are maintained</t>
  </si>
  <si>
    <t>ID.AM-02</t>
  </si>
  <si>
    <t>Inventories of software, services, and systems managed by the organization are maintained</t>
  </si>
  <si>
    <t>ID.AM-03</t>
  </si>
  <si>
    <t>Representations of the organization's authorized network communication and internal and external network data flows are maintained</t>
  </si>
  <si>
    <t>ID.AM-04</t>
  </si>
  <si>
    <t>Inventories of services provided by suppliers are maintained</t>
  </si>
  <si>
    <t>ID.AM-05</t>
  </si>
  <si>
    <t>Assets are prioritized based on classification, criticality, resources, and impact on the mission</t>
  </si>
  <si>
    <t>ID.AM-07</t>
  </si>
  <si>
    <t>Inventories of data and corresponding metadata for designated data types are maintained</t>
  </si>
  <si>
    <t>ID.AM-08</t>
  </si>
  <si>
    <t>Systems, hardware, software, services, and data are managed throughout their life cycles</t>
  </si>
  <si>
    <t>ID.RA</t>
  </si>
  <si>
    <t>The cybersecurity risk to the organization, assets, and individuals is understood by the organization</t>
  </si>
  <si>
    <t>ID.RA-01</t>
  </si>
  <si>
    <t>Vulnerabilities in assets are identified, validated, and recorded</t>
  </si>
  <si>
    <t>ID.RA-02</t>
  </si>
  <si>
    <t>Cyber threat intelligence is received from information sharing forums and sources</t>
  </si>
  <si>
    <t>ID.RA-03</t>
  </si>
  <si>
    <t>Internal and external threats to the organization are identified and recorded</t>
  </si>
  <si>
    <t>ID.RA-04</t>
  </si>
  <si>
    <t>Potential impacts and likelihoods of threats exploiting vulnerabilities are identified and recorded</t>
  </si>
  <si>
    <t>ID.RA-05</t>
  </si>
  <si>
    <t>Threats, vulnerabilities, likelihoods, and impacts are used to understand inherent risk and inform risk response prioritization</t>
  </si>
  <si>
    <t>ID.RA-06</t>
  </si>
  <si>
    <t>Risk responses are chosen, prioritized, planned, tracked, and communicated</t>
  </si>
  <si>
    <t>ID.RA-07</t>
  </si>
  <si>
    <t>Changes and exceptions are managed, assessed for risk impact, recorded, and tracked</t>
  </si>
  <si>
    <t>ID.RA-08</t>
  </si>
  <si>
    <t>Processes for receiving, analyzing, and responding to vulnerability disclosures are established</t>
  </si>
  <si>
    <t>ID.RA-09</t>
  </si>
  <si>
    <t>The authenticity and integrity of hardware and software are assessed prior to acquisition and use</t>
  </si>
  <si>
    <t>ID.RA-10</t>
  </si>
  <si>
    <t>Critical suppliers are assessed prior to acquisition</t>
  </si>
  <si>
    <t>ID.IM</t>
  </si>
  <si>
    <t>Improvements to organizational cybersecurity risk management processes, procedures and activities are identified across all CSF Functions</t>
  </si>
  <si>
    <t>ID.IM-01</t>
  </si>
  <si>
    <t>Improvements are identified from evaluations</t>
  </si>
  <si>
    <t>ID.IM-02</t>
  </si>
  <si>
    <t>Improvements are identified from security tests and exercises, including those done in coordination with suppliers and relevant third parties</t>
  </si>
  <si>
    <t>ID.IM-03</t>
  </si>
  <si>
    <t>Improvements are identified from execution of operational processes, procedures, and activities</t>
  </si>
  <si>
    <t>ID.IM-04</t>
  </si>
  <si>
    <t>Incident response plans and other cybersecurity plans that affect operations are established, communicated, maintained, and improved</t>
  </si>
  <si>
    <t>PR</t>
  </si>
  <si>
    <t>Safeguards to manage the organization's cybersecurity risks are used</t>
  </si>
  <si>
    <t>PR.AA</t>
  </si>
  <si>
    <t>Access to physical and logical assets is limited to authorized users, services, and hardware and  managed commensurate with the assessed risk of unauthorized access</t>
  </si>
  <si>
    <t>PR.AA-01</t>
  </si>
  <si>
    <t>Identities and credentials for authorized users, services, and hardware are managed by the organization</t>
  </si>
  <si>
    <t>PR.AA-02</t>
  </si>
  <si>
    <t>Identities are proofed and bound to credentials based on the context of interactions</t>
  </si>
  <si>
    <t>PR.AA-03</t>
  </si>
  <si>
    <t>Users, services, and hardware are authenticated</t>
  </si>
  <si>
    <t>PR.AA-04</t>
  </si>
  <si>
    <t>Identity assertions are protected, conveyed, and verified</t>
  </si>
  <si>
    <t>PR.AA-05</t>
  </si>
  <si>
    <t>Access permissions, entitlements, and authorizations are defined in a policy, managed, enforced, and reviewed, and incorporate the principles of least privilege and separation of duties</t>
  </si>
  <si>
    <t>PR.AA-06</t>
  </si>
  <si>
    <t>Physical access to assets is managed, monitored, and enforced commensurate with risk</t>
  </si>
  <si>
    <t>PR.AT</t>
  </si>
  <si>
    <t>The organization's personnel are provided with cybersecurity awareness and training so that they can perform their cybersecurity-related tasks</t>
  </si>
  <si>
    <t>PR.AT-01</t>
  </si>
  <si>
    <t>Personnel are provided with awareness and training so that they possess the knowledge and skills to perform general tasks with cybersecurity risks in mind</t>
  </si>
  <si>
    <t>PR.AT-02</t>
  </si>
  <si>
    <t>Individuals in specialized roles are provided with awareness and training so that they possess the knowledge and skills to perform relevant tasks with cybersecurity risks in mind</t>
  </si>
  <si>
    <t>PR.DS</t>
  </si>
  <si>
    <t>Data are managed consistent with the organization's risk strategy to protect the confidentiality, integrity, and availability of information</t>
  </si>
  <si>
    <t>PR.DS-01</t>
  </si>
  <si>
    <t>The confidentiality, integrity, and availability of data-at-rest are protected</t>
  </si>
  <si>
    <t>PR.DS-02</t>
  </si>
  <si>
    <t>The confidentiality, integrity, and availability of data-in-transit are protected</t>
  </si>
  <si>
    <t>PR.DS-10</t>
  </si>
  <si>
    <t>The confidentiality, integrity, and availability of data-in-use are protected</t>
  </si>
  <si>
    <t>PR.DS-11</t>
  </si>
  <si>
    <t>Backups of data are created, protected, maintained, and tested</t>
  </si>
  <si>
    <t>PR.PS</t>
  </si>
  <si>
    <t>The hardware, software (e.g., firmware, operating systems, applications), and services of physical and virtual platforms are managed consistent with the organization's risk strategy to protect their confidentiality, integrity, and availability</t>
  </si>
  <si>
    <t>PR.PS-01</t>
  </si>
  <si>
    <t>Configuration management practices are established and applied</t>
  </si>
  <si>
    <t>PR.PS-02</t>
  </si>
  <si>
    <t>Software is maintained, replaced, and removed commensurate with risk</t>
  </si>
  <si>
    <t>PR.PS-03</t>
  </si>
  <si>
    <t>Hardware is maintained, replaced, and removed commensurate with risk</t>
  </si>
  <si>
    <t>PR.PS-04</t>
  </si>
  <si>
    <t>Log records are generated and made available for continuous monitoring</t>
  </si>
  <si>
    <t>PR.PS-05</t>
  </si>
  <si>
    <t>Installation and execution of unauthorized software are prevented</t>
  </si>
  <si>
    <t>PR.PS-06</t>
  </si>
  <si>
    <t>Secure software development practices are integrated, and their performance is monitored throughout the software development life cycle</t>
  </si>
  <si>
    <t>PR.IR</t>
  </si>
  <si>
    <t>Security architectures are managed with the organization's risk strategy to protect asset confidentiality, integrity, and availability, and organizational resilience</t>
  </si>
  <si>
    <t>PR.IR-01</t>
  </si>
  <si>
    <t>Networks and environments are protected from unauthorized logical access and usage</t>
  </si>
  <si>
    <t>PR.IR-02</t>
  </si>
  <si>
    <t>The organization's technology assets are protected from environmental threats</t>
  </si>
  <si>
    <t>PR.IR-03</t>
  </si>
  <si>
    <t>Mechanisms are implemented to achieve resilience requirements in normal and adverse situations</t>
  </si>
  <si>
    <t>PR.IR-04</t>
  </si>
  <si>
    <t>Adequate resource capacity to ensure availability is maintained</t>
  </si>
  <si>
    <t>DE</t>
  </si>
  <si>
    <t>Possible cybersecurity attacks and compromises are found and analyzed</t>
  </si>
  <si>
    <t>DE.CM</t>
  </si>
  <si>
    <t>Assets are monitored to find anomalies, indicators of compromise, and other potentially adverse events</t>
  </si>
  <si>
    <t>DE.CM-01</t>
  </si>
  <si>
    <t>Networks and network services are monitored to find potentially adverse events</t>
  </si>
  <si>
    <t>DE.CM-02</t>
  </si>
  <si>
    <t>The physical environment is monitored to find potentially adverse events</t>
  </si>
  <si>
    <t>DE.CM-03</t>
  </si>
  <si>
    <t>Personnel activity and technology usage are monitored to find potentially adverse events</t>
  </si>
  <si>
    <t>DE.CM-06</t>
  </si>
  <si>
    <t>External service provider activities and services are monitored to find potentially adverse events</t>
  </si>
  <si>
    <t>DE.CM-09</t>
  </si>
  <si>
    <t>Computing hardware and software, runtime environments, and their data are monitored to find potentially adverse events</t>
  </si>
  <si>
    <t>DE.AE</t>
  </si>
  <si>
    <t>Anomalies, indicators of compromise, and other potentially adverse events are analyzed to characterize the events and detect cybersecurity incidents</t>
  </si>
  <si>
    <t>DE.AE-01</t>
  </si>
  <si>
    <t>Adverse events are analyzed to find possible attacks and compromises</t>
  </si>
  <si>
    <t>DE.AE-02</t>
  </si>
  <si>
    <t>Potentially adverse events are analyzed to better understand associated activities</t>
  </si>
  <si>
    <t>DE.AE-03</t>
  </si>
  <si>
    <t>Information is correlated from multiple sources</t>
  </si>
  <si>
    <t>DE.AE-04</t>
  </si>
  <si>
    <t>The estimated impact and scope of adverse events are understood</t>
  </si>
  <si>
    <t>DE.AE-05</t>
  </si>
  <si>
    <t>Cyber threat intelligence and other contextual information are integrated into the analysis</t>
  </si>
  <si>
    <t>DE.AE-06</t>
  </si>
  <si>
    <t>Information on adverse events is provided to authorized staff and tools</t>
  </si>
  <si>
    <t>DE.AE-07</t>
  </si>
  <si>
    <t>DE.AE-08</t>
  </si>
  <si>
    <t>Incidents are declared when adverse events meet the defined incident criteria</t>
  </si>
  <si>
    <t>RS</t>
  </si>
  <si>
    <t>Actions regarding a detected cybersecurity incident are taken</t>
  </si>
  <si>
    <t>RS.MA</t>
  </si>
  <si>
    <t>Responses to detected cybersecurity incidents are managed</t>
  </si>
  <si>
    <t>RS.MA-01</t>
  </si>
  <si>
    <t>The incident response plan is executed in coordination with relevant third parties once an incident is declared</t>
  </si>
  <si>
    <t>RS.MA-02</t>
  </si>
  <si>
    <t>Incident reports are triaged and validated</t>
  </si>
  <si>
    <t>RS.MA-03</t>
  </si>
  <si>
    <t>Incidents are categorized and prioritized</t>
  </si>
  <si>
    <t>RS.MA-04</t>
  </si>
  <si>
    <t>Incidents are escalated or elevated as needed</t>
  </si>
  <si>
    <t>RS.MA-05</t>
  </si>
  <si>
    <t>The criteria for initiating incident recovery are applied</t>
  </si>
  <si>
    <t>RS.AN</t>
  </si>
  <si>
    <t>Investigations are conducted to ensure effective response and support forensics and recovery activities</t>
  </si>
  <si>
    <t>RS.AN-03</t>
  </si>
  <si>
    <t>Analysis is performed to establish what has taken place during an incident and the root cause of the incident</t>
  </si>
  <si>
    <t>RS.AN-06</t>
  </si>
  <si>
    <t>Actions performed during an investigation are recorded, and the records' integrity and provenance are preserved</t>
  </si>
  <si>
    <t>RS.AN-07</t>
  </si>
  <si>
    <t>Incident data and metadata are collected, and their integrity and provenance are preserved</t>
  </si>
  <si>
    <t>RS.AN-08</t>
  </si>
  <si>
    <t>An incident's magnitude is estimated and validated</t>
  </si>
  <si>
    <t>RS.CO</t>
  </si>
  <si>
    <t>Response activities are coordinated with internal and external stakeholders as required by laws, regulations, or policies</t>
  </si>
  <si>
    <t>RS.CO-02</t>
  </si>
  <si>
    <t>Internal and external stakeholders are notified of incidents</t>
  </si>
  <si>
    <t>RS.CO-03</t>
  </si>
  <si>
    <t>Information is shared with designated internal and external stakeholders</t>
  </si>
  <si>
    <t>RS.MI</t>
  </si>
  <si>
    <t>Activities are performed to prevent expansion of an event and mitigate its effects</t>
  </si>
  <si>
    <t>RS.MI-01</t>
  </si>
  <si>
    <t>Incidents are contained</t>
  </si>
  <si>
    <t>RS.MI-02</t>
  </si>
  <si>
    <t>Incidents are eradicated</t>
  </si>
  <si>
    <t>RC</t>
  </si>
  <si>
    <t>Assets and operations affected by a cybersecurity incident are restored</t>
  </si>
  <si>
    <t>RC.RP</t>
  </si>
  <si>
    <t>Restoration activities are performed to ensure operational availability of systems and services affected by cybersecurity incidents</t>
  </si>
  <si>
    <t>RC.RP-01</t>
  </si>
  <si>
    <t>The recovery portion of the incident response plan is executed once initiated from the incident response process</t>
  </si>
  <si>
    <t>RC.RP-02</t>
  </si>
  <si>
    <t>Recovery actions are selected, scoped, prioritized, and performed</t>
  </si>
  <si>
    <t>RC.RP-03</t>
  </si>
  <si>
    <t>The integrity of backups and other restoration assets is verified before using them for restoration</t>
  </si>
  <si>
    <t>RC.RP-04</t>
  </si>
  <si>
    <t>Critical mission functions and cybersecurity risk management are considered to establish post-incident operational norms</t>
  </si>
  <si>
    <t>RC.RP-05</t>
  </si>
  <si>
    <t>The integrity of restored assets is verified, systems and services are restored, and normal operating status is confirmed</t>
  </si>
  <si>
    <t>RC.RP-06</t>
  </si>
  <si>
    <t>The end of incident recovery is declared based on criteria, and incident-related documentation is completed</t>
  </si>
  <si>
    <t>RC.CO</t>
  </si>
  <si>
    <t>Restoration activities are coordinated with internal and external parties</t>
  </si>
  <si>
    <t>RC.CO-03</t>
  </si>
  <si>
    <t>Recovery activities and progress in restoring operational capabilities are communicated to designated internal and external stakeholders</t>
  </si>
  <si>
    <t>RC.CO-04</t>
  </si>
  <si>
    <t>Public updates on incident recovery are shared using approved methods and messaging</t>
  </si>
  <si>
    <t>MATURITY LEVELS</t>
  </si>
  <si>
    <t>1 - Ad Hoc</t>
  </si>
  <si>
    <t>Activities are informal, reactive, undocumented</t>
  </si>
  <si>
    <t>2 - Defined</t>
  </si>
  <si>
    <t>Policies and procedures exist but are inconsistently implemented</t>
  </si>
  <si>
    <t>3 - Consistently Implemented</t>
  </si>
  <si>
    <t>Processes are implemented enterprise-wide and operating as intended</t>
  </si>
  <si>
    <t>4 - Managed and Measurable</t>
  </si>
  <si>
    <t>Performance metrics are tracked; effectiveness is evaluated</t>
  </si>
  <si>
    <t>5 - Optimized</t>
  </si>
  <si>
    <t>Continuous improvement is embedded; controls adapt to risk signals</t>
  </si>
  <si>
    <t>Recorder: follow this tab top-to-bottom during the interview. Each blue banner is a new question. Subcategories under it are what you are listening for.</t>
  </si>
  <si>
    <t>Question #</t>
  </si>
  <si>
    <t>Subcategory ID</t>
  </si>
  <si>
    <t>CSF Function</t>
  </si>
  <si>
    <t>CSF Category</t>
  </si>
  <si>
    <t>IG Metric #</t>
  </si>
  <si>
    <t>IG Metric Name</t>
  </si>
  <si>
    <t>Core / Supp</t>
  </si>
  <si>
    <t>Alignment</t>
  </si>
  <si>
    <t>FISMA Domain</t>
  </si>
  <si>
    <t>Interview Topic Family</t>
  </si>
  <si>
    <t>Question Summary</t>
  </si>
  <si>
    <t>M-Q1  |  Governance, Leadership &amp; Oversight  |  "How is cybersecurity governed? Who is accountable? Are roles documented?"</t>
  </si>
  <si>
    <t>M-Q1</t>
  </si>
  <si>
    <t>GOVERN (GV)</t>
  </si>
  <si>
    <t>Organizational Context (GV.OC)</t>
  </si>
  <si>
    <t>1</t>
  </si>
  <si>
    <t>Cybersecurity Profiles</t>
  </si>
  <si>
    <t>Supplemental</t>
  </si>
  <si>
    <t>Primary</t>
  </si>
  <si>
    <t>Cybersecurity Governance</t>
  </si>
  <si>
    <t>Governance, Leadership &amp; Oversight</t>
  </si>
  <si>
    <t>How is cybersecurity governed? Who is accountable? Are roles documented?</t>
  </si>
  <si>
    <t>1, 3</t>
  </si>
  <si>
    <t>Cybersecurity Profiles; Roles &amp; Responsibilities</t>
  </si>
  <si>
    <t>Supporting</t>
  </si>
  <si>
    <t>Roles, Responsibilities, and Authorities (GV.RR)</t>
  </si>
  <si>
    <t>3</t>
  </si>
  <si>
    <t>Cybersecurity Roles &amp; Responsibilities</t>
  </si>
  <si>
    <t>Adequate resources are allocated commensurate with the cybersecurity risk strategy, roles and responsibilities, and policies</t>
  </si>
  <si>
    <t>3, 24</t>
  </si>
  <si>
    <t>Cybersecurity Roles &amp; Responsibilities; KSA (Training)</t>
  </si>
  <si>
    <t>Core</t>
  </si>
  <si>
    <t>Cybersecurity Governance; Security Training</t>
  </si>
  <si>
    <t>M-Q2  |  Governance, Leadership &amp; Oversight  |  "What policies exist? How are they maintained and communicated?"</t>
  </si>
  <si>
    <t>M-Q2</t>
  </si>
  <si>
    <t>Legal, regulatory, and contractual requirements regarding cybersecurity — including privacy and civil liberties obligations — are understood and managed</t>
  </si>
  <si>
    <t>1, 21</t>
  </si>
  <si>
    <t>Cybersecurity Profiles; Security &amp; Privacy Controls</t>
  </si>
  <si>
    <t>Cybersecurity Governance; Data Protection &amp; Privacy</t>
  </si>
  <si>
    <t>What policies exist? How are they maintained and communicated?</t>
  </si>
  <si>
    <t>Policy (GV.PO)</t>
  </si>
  <si>
    <t>2, 3</t>
  </si>
  <si>
    <t>Cybersecurity Risk Mgmt Strategy; Roles &amp; Responsibilities</t>
  </si>
  <si>
    <t>M-Q3  |  Governance, Leadership &amp; Oversight  |  "How does leadership review whether the approach is working?"</t>
  </si>
  <si>
    <t>M-Q3</t>
  </si>
  <si>
    <t>1, 33</t>
  </si>
  <si>
    <t>Cybersecurity Profiles; Business Impact Analyses</t>
  </si>
  <si>
    <t>Cybersecurity Governance; Contingency Planning</t>
  </si>
  <si>
    <t>How does leadership review whether the approach is working?</t>
  </si>
  <si>
    <t>Oversight (GV.OV)</t>
  </si>
  <si>
    <t>1, 2, 28</t>
  </si>
  <si>
    <t>Cybersecurity Profiles; Risk Mgmt Strategy</t>
  </si>
  <si>
    <t>1, 2</t>
  </si>
  <si>
    <t>M-Q4  |  Risk Management  |  "How is cybersecurity risk managed — strategy through resolution?"</t>
  </si>
  <si>
    <t>M-Q4</t>
  </si>
  <si>
    <t>Risk management objectives are established and expressed as statements of risk appetite and tolerance</t>
  </si>
  <si>
    <t>Risk Management Strategy (GV.RM)</t>
  </si>
  <si>
    <t>2</t>
  </si>
  <si>
    <t>Cybersecurity Risk Mgmt Strategy</t>
  </si>
  <si>
    <t>Risk Management</t>
  </si>
  <si>
    <t>How is cybersecurity risk managed — strategy through resolution?</t>
  </si>
  <si>
    <t>2, 12</t>
  </si>
  <si>
    <t>Cybersecurity Risk Mgmt Strategy; Enterprise View of Risk</t>
  </si>
  <si>
    <t>Cybersecurity Governance; Risk &amp; Asset Mgmt</t>
  </si>
  <si>
    <t>2, 5</t>
  </si>
  <si>
    <t>Cybersecurity Risk Mgmt Strategy; External Products &amp; Services</t>
  </si>
  <si>
    <t>Cybersecurity Governance; C-SCRM</t>
  </si>
  <si>
    <t>2, 11</t>
  </si>
  <si>
    <t>Cybersecurity Risk Mgmt Strategy; Info System Risk Governance</t>
  </si>
  <si>
    <t>M-Q5  |  Risk Management  |  "How do risk assessments work — threats, vulnerabilities, prioritization?"</t>
  </si>
  <si>
    <t>M-Q5</t>
  </si>
  <si>
    <t>IDENTIFY (ID)</t>
  </si>
  <si>
    <t>Risk Assessment (ID.RA)</t>
  </si>
  <si>
    <t>14, 15</t>
  </si>
  <si>
    <t>Secure Config Settings; Flaw Remediation</t>
  </si>
  <si>
    <t>Configuration Management</t>
  </si>
  <si>
    <t>How do risk assessments work — threats, vulnerabilities, prioritization?</t>
  </si>
  <si>
    <t>11, 26</t>
  </si>
  <si>
    <t>Info System Risk Governance; ISCM Strategy</t>
  </si>
  <si>
    <t>Risk &amp; Asset Mgmt; ISCM</t>
  </si>
  <si>
    <t>11</t>
  </si>
  <si>
    <t>Information System Risk Governance</t>
  </si>
  <si>
    <t>Risk &amp; Asset Management</t>
  </si>
  <si>
    <t>11, 33</t>
  </si>
  <si>
    <t>Info System Risk Governance; BIA</t>
  </si>
  <si>
    <t>Risk &amp; Asset Mgmt; Contingency Planning</t>
  </si>
  <si>
    <t>Threats, vulnerabilities, likelihoods, and impacts are used to understand risk and inform risk response prioritization</t>
  </si>
  <si>
    <t>11, 12</t>
  </si>
  <si>
    <t>Info System Risk Governance; Enterprise View of Risk</t>
  </si>
  <si>
    <t>11, 14</t>
  </si>
  <si>
    <t>Info System Risk Governance; Secure Config Settings</t>
  </si>
  <si>
    <t>Risk &amp; Asset Mgmt; Config Mgmt</t>
  </si>
  <si>
    <t>15</t>
  </si>
  <si>
    <t>Flaw Remediation</t>
  </si>
  <si>
    <t>M-Q6  |  Supply Chain &amp; Third-Party Risk  |  "How are vendor/supplier relationships managed for security?"</t>
  </si>
  <si>
    <t>M-Q6</t>
  </si>
  <si>
    <t>Supply Chain Risk Mgmt (GV.SC)</t>
  </si>
  <si>
    <t>5</t>
  </si>
  <si>
    <t>External Products, Components, Systems &amp; Services</t>
  </si>
  <si>
    <t>C-SCRM</t>
  </si>
  <si>
    <t>Supply Chain &amp; Third-Party Risk</t>
  </si>
  <si>
    <t>How are vendor/supplier relationships managed for security?</t>
  </si>
  <si>
    <t>5, 12</t>
  </si>
  <si>
    <t>External Products &amp; Services; Enterprise View of Risk</t>
  </si>
  <si>
    <t>C-SCRM; Risk &amp; Asset Mgmt</t>
  </si>
  <si>
    <t>Requirements to address cybersecurity risks in supply chains are established, prioritized, and integrated into contracts and other agreements with suppliers and other relevant third parties</t>
  </si>
  <si>
    <t>5, 30, 31</t>
  </si>
  <si>
    <t>External Products &amp; Services; Incident Detection; Incident Handling</t>
  </si>
  <si>
    <t>C-SCRM; Incident Response</t>
  </si>
  <si>
    <t>5, 14</t>
  </si>
  <si>
    <t>External Products &amp; Services; Secure Config Settings</t>
  </si>
  <si>
    <t>C-SCRM; Config Mgmt</t>
  </si>
  <si>
    <t>M-Q7  |  Asset &amp; Inventory Management  |  "How are hardware, software, data, and services tracked?"</t>
  </si>
  <si>
    <t>M-Q7</t>
  </si>
  <si>
    <t>Asset Management (ID.AM)</t>
  </si>
  <si>
    <t>8</t>
  </si>
  <si>
    <t>Hardware Management</t>
  </si>
  <si>
    <t>Asset &amp; Inventory Management</t>
  </si>
  <si>
    <t>How are hardware, software, data, and services tracked?</t>
  </si>
  <si>
    <t>9</t>
  </si>
  <si>
    <t>Software Management</t>
  </si>
  <si>
    <t>7</t>
  </si>
  <si>
    <t>Systems Inventory</t>
  </si>
  <si>
    <t>5, 7</t>
  </si>
  <si>
    <t>External Products &amp; Services; Systems Inventory</t>
  </si>
  <si>
    <t>Assets are prioritized based on classification, criticality, resources, and impact to the mission</t>
  </si>
  <si>
    <t>7, 10, 33</t>
  </si>
  <si>
    <t>Systems Inventory; Data Inventories; BIA</t>
  </si>
  <si>
    <t>Risk &amp; Asset Management; Contingency Planning</t>
  </si>
  <si>
    <t>10</t>
  </si>
  <si>
    <t>Data Inventories</t>
  </si>
  <si>
    <t>7, 8, 9</t>
  </si>
  <si>
    <t>Systems Inventory; Hardware Mgmt; Software Mgmt</t>
  </si>
  <si>
    <t>M-Q8  |  Access Control &amp; Identity Management  |  "How do people get access? MFA, privileged accounts, least privilege?"</t>
  </si>
  <si>
    <t>M-Q8</t>
  </si>
  <si>
    <t>PROTECT (PR)</t>
  </si>
  <si>
    <t>Identity Mgmt, Auth &amp; Access Control (PR.AA)</t>
  </si>
  <si>
    <t>17, 18, 19</t>
  </si>
  <si>
    <t>Non-priv User MFA; Priv User MFA; Least Privilege</t>
  </si>
  <si>
    <t>Identity &amp; Access Management</t>
  </si>
  <si>
    <t>Access Control &amp; Identity Management</t>
  </si>
  <si>
    <t>How do people get access? MFA, privileged accounts, least privilege?</t>
  </si>
  <si>
    <t>17, 18</t>
  </si>
  <si>
    <t>Non-priv User MFA; Priv User MFA</t>
  </si>
  <si>
    <t>19</t>
  </si>
  <si>
    <t>Least Privilege &amp; Separation of Duties</t>
  </si>
  <si>
    <t>M-Q9  |  Data Protection &amp; Privacy  |  "How is data protected at rest, in transit, in use? Backups?"</t>
  </si>
  <si>
    <t>M-Q9</t>
  </si>
  <si>
    <t>Data Security (PR.DS)</t>
  </si>
  <si>
    <t>21, 22</t>
  </si>
  <si>
    <t>Security &amp; Privacy Controls; Data Exfiltration Controls</t>
  </si>
  <si>
    <t>Data Protection &amp; Privacy</t>
  </si>
  <si>
    <t>How is data protected at rest, in transit, in use? Backups?</t>
  </si>
  <si>
    <t>21, 33</t>
  </si>
  <si>
    <t>Security &amp; Privacy Controls; BIA</t>
  </si>
  <si>
    <t>Data Protection &amp; Privacy; Contingency Planning</t>
  </si>
  <si>
    <t>M-Q10  |  Configuration &amp; Platform Security  |  "How is the system hardened, patched, and secured at the platform level?"</t>
  </si>
  <si>
    <t>M-Q10</t>
  </si>
  <si>
    <t>Technology Infrastructure Resilience (PR.IR)</t>
  </si>
  <si>
    <t>19, 22</t>
  </si>
  <si>
    <t>Least Privilege; Data Exfiltration Controls</t>
  </si>
  <si>
    <t>Identity &amp; Access Mgmt; Data Protection</t>
  </si>
  <si>
    <t>Configuration &amp; Platform Security</t>
  </si>
  <si>
    <t>How is the system hardened, patched, and secured at the platform level?</t>
  </si>
  <si>
    <t>The organization's technology assets are protected from environmental and other physical threats</t>
  </si>
  <si>
    <t>14</t>
  </si>
  <si>
    <t>Secure Configuration Settings</t>
  </si>
  <si>
    <t>33, 34</t>
  </si>
  <si>
    <t>BIA; Contingency Testing/Exercises</t>
  </si>
  <si>
    <t>Contingency Planning</t>
  </si>
  <si>
    <t>33</t>
  </si>
  <si>
    <t>Business Impact Analyses</t>
  </si>
  <si>
    <t>Platform Security (PR.PS)</t>
  </si>
  <si>
    <t>8, 14</t>
  </si>
  <si>
    <t>Hardware Mgmt; Secure Config Settings</t>
  </si>
  <si>
    <t>26, 27</t>
  </si>
  <si>
    <t>ISCM Strategy; Asset Integrity &amp; Security Posture Monitoring</t>
  </si>
  <si>
    <t>ISCM</t>
  </si>
  <si>
    <t>9, 14</t>
  </si>
  <si>
    <t>Software Mgmt; Secure Config Settings</t>
  </si>
  <si>
    <t>M-Q11  |  Training &amp; Workforce Development  |  "How are users and security staff trained?"</t>
  </si>
  <si>
    <t>M-Q11</t>
  </si>
  <si>
    <t>Personnel are provided cybersecurity awareness and training so that they can perform their cybersecurity-related tasks</t>
  </si>
  <si>
    <t>Awareness and Training (PR.AT)</t>
  </si>
  <si>
    <t>24</t>
  </si>
  <si>
    <t>Knowledge, Skills, and Abilities (Training)</t>
  </si>
  <si>
    <t>Security Training</t>
  </si>
  <si>
    <t>Training &amp; Workforce Development</t>
  </si>
  <si>
    <t>How are users and security staff trained?</t>
  </si>
  <si>
    <t>Individuals in specialized roles are provided cybersecurity awareness and training so that they possess the knowledge and skills to perform relevant tasks</t>
  </si>
  <si>
    <t>M-Q12  |  Monitoring &amp; Detection  |  "How is the system monitored? How do alerts get triaged?"</t>
  </si>
  <si>
    <t>M-Q12</t>
  </si>
  <si>
    <t>DETECT (DE)</t>
  </si>
  <si>
    <t>Adverse Event Analysis (DE.AE)</t>
  </si>
  <si>
    <t>26, 30</t>
  </si>
  <si>
    <t>ISCM Strategy; Incident Detection &amp; Analysis</t>
  </si>
  <si>
    <t>ISCM; Incident Response</t>
  </si>
  <si>
    <t>Monitoring &amp; Detection</t>
  </si>
  <si>
    <t>How is the system monitored? How do alerts get triaged?</t>
  </si>
  <si>
    <t>30</t>
  </si>
  <si>
    <t>Incident Detection &amp; Analysis</t>
  </si>
  <si>
    <t>Incident Response</t>
  </si>
  <si>
    <t>26</t>
  </si>
  <si>
    <t>ISCM Strategy</t>
  </si>
  <si>
    <t>Continuous Monitoring (DE.CM)</t>
  </si>
  <si>
    <t>26, 27, 28</t>
  </si>
  <si>
    <t>22, 26</t>
  </si>
  <si>
    <t>Data Exfiltration Controls; ISCM Strategy</t>
  </si>
  <si>
    <t>Data Protection &amp; Privacy; ISCM</t>
  </si>
  <si>
    <t>5, 26</t>
  </si>
  <si>
    <t>External Products &amp; Services; ISCM Strategy</t>
  </si>
  <si>
    <t>C-SCRM; ISCM</t>
  </si>
  <si>
    <t>14, 26, 27, 28</t>
  </si>
  <si>
    <t>Secure Config; ISCM Strategy; Asset Integrity</t>
  </si>
  <si>
    <t>Config Mgmt; ISCM</t>
  </si>
  <si>
    <t>M-Q13  |  Incident Response  |  "What happens when an incident is declared? Containment through notification?"</t>
  </si>
  <si>
    <t>M-Q13</t>
  </si>
  <si>
    <t>Analysis is performed to determine what has taken place during an incident and the root cause of the incident</t>
  </si>
  <si>
    <t>RESPOND (RS)</t>
  </si>
  <si>
    <t>Incident Analysis (RS.AN)</t>
  </si>
  <si>
    <t>30, 31</t>
  </si>
  <si>
    <t>Incident Detection &amp; Analysis; Incident Handling</t>
  </si>
  <si>
    <t>What happens when an incident is declared? Containment through notification?</t>
  </si>
  <si>
    <t>Incident Response Reporting &amp; Communication (RS.CO)</t>
  </si>
  <si>
    <t>31</t>
  </si>
  <si>
    <t>Incident Handling</t>
  </si>
  <si>
    <t>The incident response plan is executed in coordination with relevant third parties once an incident is declared or detected</t>
  </si>
  <si>
    <t>Incident Management (RS.MA)</t>
  </si>
  <si>
    <t>31, 34</t>
  </si>
  <si>
    <t>Incident Handling; Contingency Testing</t>
  </si>
  <si>
    <t>Incident Response; Contingency Planning</t>
  </si>
  <si>
    <t>Incident Mitigation (RS.MI)</t>
  </si>
  <si>
    <t>M-Q14  |  Recovery &amp; Continuity  |  "How is the system recovered after an incident or outage?"</t>
  </si>
  <si>
    <t>M-Q14</t>
  </si>
  <si>
    <t>RECOVER (RC)</t>
  </si>
  <si>
    <t>Incident Recovery Communication (RC.CO)</t>
  </si>
  <si>
    <t>Recovery &amp; Continuity</t>
  </si>
  <si>
    <t>How is the system recovered after an incident or outage?</t>
  </si>
  <si>
    <t>Incident Recovery Plan Execution (RC.RP)</t>
  </si>
  <si>
    <t>34</t>
  </si>
  <si>
    <t>Contingency Testing/Exercises</t>
  </si>
  <si>
    <t>M-Q15  |  Continuous Improvement  |  "How does the org learn and improve over time?"</t>
  </si>
  <si>
    <t>M-Q15</t>
  </si>
  <si>
    <t>Improvement (ID.IM)</t>
  </si>
  <si>
    <t>1, 12</t>
  </si>
  <si>
    <t>Cybersecurity Profiles; Enterprise View of Risk</t>
  </si>
  <si>
    <t>Continuous Improvement</t>
  </si>
  <si>
    <t>How does the org learn and improve over time?</t>
  </si>
  <si>
    <t>Improvements are identified from security tests and exercises, including those done in coordination with suppliers and other third parties</t>
  </si>
  <si>
    <t>26, 31</t>
  </si>
  <si>
    <t>ISCM Strategy; Incident Handling</t>
  </si>
  <si>
    <t>30, 31, 34</t>
  </si>
  <si>
    <t>Incident Detection; Incident Handling; Contingency 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</si>
</sst>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charset val="1"/>
    </font>
    <font>
      <i/>
      <sz val="9"/>
      <color rgb="FF666666"/>
      <name val="Arial"/>
      <family val="2"/>
    </font>
    <font>
      <b/>
      <sz val="10"/>
      <color rgb="FFFFFFFF"/>
      <name val="Arial"/>
      <family val="2"/>
    </font>
    <font>
      <b/>
      <sz val="11"/>
      <color rgb="FFFFFFFF"/>
      <name val="Arial"/>
      <family val="2"/>
    </font>
    <font>
      <b/>
      <sz val="10"/>
      <color rgb="FF1F4E79"/>
      <name val="Arial"/>
      <family val="2"/>
    </font>
    <font>
      <b/>
      <sz val="9"/>
      <name val="Arial"/>
      <family val="2"/>
    </font>
    <font>
      <sz val="9"/>
      <name val="Arial"/>
      <family val="2"/>
    </font>
    <font>
      <i/>
      <sz val="9"/>
      <color rgb="FF666666"/>
      <name val="Arial"/>
      <family val="2"/>
    </font>
    <font>
      <b/>
      <sz val="10"/>
      <color rgb="FFFFFFFF"/>
      <name val="Arial"/>
      <family val="2"/>
    </font>
    <font>
      <sz val="9"/>
      <name val="Arial"/>
      <family val="2"/>
    </font>
    <font>
      <b/>
      <sz val="9"/>
      <color rgb="FF006100"/>
      <name val="Arial"/>
      <family val="2"/>
    </font>
    <font>
      <sz val="9"/>
      <color rgb="FF9C6500"/>
      <name val="Arial"/>
      <family val="2"/>
    </font>
    <font>
      <b/>
      <sz val="13"/>
      <color rgb="FFBF8F00"/>
      <name val="Arial"/>
      <family val="2"/>
    </font>
    <font>
      <b/>
      <sz val="16"/>
      <color theme="0"/>
      <name val="Calibri"/>
      <family val="2"/>
    </font>
    <font>
      <b/>
      <sz val="12"/>
      <color theme="0"/>
      <name val="Arial"/>
      <family val="2"/>
    </font>
    <font>
      <b/>
      <sz val="11"/>
      <color theme="1"/>
      <name val="Calibri"/>
      <family val="2"/>
    </font>
    <font>
      <b/>
      <sz val="9"/>
      <color rgb="FFFFFFFF"/>
      <name val="Arial"/>
      <family val="2"/>
    </font>
    <font>
      <sz val="9"/>
      <color theme="1"/>
      <name val="Calibri"/>
      <family val="2"/>
      <charset val="1"/>
    </font>
    <font>
      <b/>
      <sz val="8"/>
      <color rgb="FFFFFFFF"/>
      <name val="Arial"/>
      <family val="2"/>
    </font>
    <font>
      <sz val="8"/>
      <color rgb="FF9C6500"/>
      <name val="Arial"/>
      <family val="2"/>
    </font>
    <font>
      <b/>
      <sz val="8"/>
      <color rgb="FF006100"/>
      <name val="Arial"/>
      <family val="2"/>
    </font>
    <font>
      <sz val="8"/>
      <color theme="1"/>
      <name val="Calibri"/>
      <family val="2"/>
      <charset val="1"/>
    </font>
  </fonts>
  <fills count="13">
    <fill>
      <patternFill patternType="none"/>
    </fill>
    <fill>
      <patternFill patternType="gray125"/>
    </fill>
    <fill>
      <patternFill patternType="solid">
        <fgColor rgb="FF1F4E79"/>
        <bgColor rgb="FF003366"/>
      </patternFill>
    </fill>
    <fill>
      <patternFill patternType="solid">
        <fgColor rgb="FF2E75B6"/>
        <bgColor rgb="FF0066CC"/>
      </patternFill>
    </fill>
    <fill>
      <patternFill patternType="solid">
        <fgColor rgb="FFD6E4F0"/>
        <bgColor rgb="FFC6EFCE"/>
      </patternFill>
    </fill>
    <fill>
      <patternFill patternType="solid">
        <fgColor rgb="FFFFFFF0"/>
        <bgColor rgb="FFFFFFFF"/>
      </patternFill>
    </fill>
    <fill>
      <patternFill patternType="solid">
        <fgColor rgb="FFF7F9FC"/>
        <bgColor rgb="FFFFFFFF"/>
      </patternFill>
    </fill>
    <fill>
      <patternFill patternType="solid">
        <fgColor rgb="FF1F4E79"/>
      </patternFill>
    </fill>
    <fill>
      <patternFill patternType="solid">
        <fgColor rgb="FF2E75B6"/>
      </patternFill>
    </fill>
    <fill>
      <patternFill patternType="solid">
        <fgColor rgb="FFC6EFCE"/>
      </patternFill>
    </fill>
    <fill>
      <patternFill patternType="solid">
        <fgColor rgb="FFFFEB9C"/>
      </patternFill>
    </fill>
    <fill>
      <patternFill patternType="solid">
        <fgColor rgb="FFF7F9FC"/>
      </patternFill>
    </fill>
    <fill>
      <patternFill patternType="solid">
        <fgColor theme="1"/>
        <bgColor indexed="64"/>
      </patternFill>
    </fill>
  </fills>
  <borders count="6">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7">
    <xf numFmtId="0" fontId="0" fillId="0" borderId="0" xfId="0"/>
    <xf numFmtId="0" fontId="2" fillId="2" borderId="1" xfId="0" applyFont="1" applyFill="1" applyBorder="1" applyAlignment="1">
      <alignment horizontal="center" vertical="top" wrapText="1"/>
    </xf>
    <xf numFmtId="0" fontId="3" fillId="3" borderId="1" xfId="0" applyFont="1" applyFill="1" applyBorder="1"/>
    <xf numFmtId="0" fontId="3" fillId="3" borderId="1" xfId="0" applyFont="1" applyFill="1" applyBorder="1" applyAlignment="1">
      <alignment vertical="top" wrapText="1"/>
    </xf>
    <xf numFmtId="0" fontId="0" fillId="3" borderId="1" xfId="0" applyFill="1" applyBorder="1"/>
    <xf numFmtId="0" fontId="4" fillId="4" borderId="1" xfId="0" applyFont="1" applyFill="1" applyBorder="1"/>
    <xf numFmtId="0" fontId="4" fillId="4" borderId="1" xfId="0" applyFont="1" applyFill="1" applyBorder="1" applyAlignment="1">
      <alignment vertical="top" wrapText="1"/>
    </xf>
    <xf numFmtId="0" fontId="0" fillId="4" borderId="1" xfId="0" applyFill="1" applyBorder="1"/>
    <xf numFmtId="0" fontId="5" fillId="0" borderId="1" xfId="0" applyFont="1" applyBorder="1"/>
    <xf numFmtId="0" fontId="6" fillId="0" borderId="1" xfId="0" applyFont="1" applyBorder="1" applyAlignment="1">
      <alignment vertical="top" wrapText="1"/>
    </xf>
    <xf numFmtId="0" fontId="6" fillId="5" borderId="1" xfId="0" applyFont="1" applyFill="1" applyBorder="1" applyAlignment="1">
      <alignment horizontal="center" vertical="top" wrapText="1"/>
    </xf>
    <xf numFmtId="0" fontId="6" fillId="5" borderId="1" xfId="0" applyFont="1" applyFill="1" applyBorder="1" applyAlignment="1">
      <alignment vertical="top" wrapText="1"/>
    </xf>
    <xf numFmtId="0" fontId="6" fillId="0" borderId="1" xfId="0" applyFont="1" applyBorder="1" applyAlignment="1">
      <alignment horizontal="center" vertical="top" wrapText="1"/>
    </xf>
    <xf numFmtId="0" fontId="5" fillId="6" borderId="1" xfId="0" applyFont="1" applyFill="1" applyBorder="1"/>
    <xf numFmtId="0" fontId="6" fillId="6" borderId="1" xfId="0" applyFont="1" applyFill="1" applyBorder="1" applyAlignment="1">
      <alignment vertical="top" wrapText="1"/>
    </xf>
    <xf numFmtId="0" fontId="4" fillId="0" borderId="0" xfId="0" applyFont="1"/>
    <xf numFmtId="0" fontId="5" fillId="0" borderId="0" xfId="0" applyFont="1"/>
    <xf numFmtId="0" fontId="1" fillId="0" borderId="0" xfId="0" applyFont="1"/>
    <xf numFmtId="0" fontId="8" fillId="7" borderId="2" xfId="0" applyFont="1" applyFill="1" applyBorder="1" applyAlignment="1">
      <alignment horizontal="center" vertical="top" wrapText="1"/>
    </xf>
    <xf numFmtId="0" fontId="9" fillId="0" borderId="2" xfId="0" applyFont="1" applyBorder="1" applyAlignment="1">
      <alignment vertical="top" wrapText="1"/>
    </xf>
    <xf numFmtId="0" fontId="11" fillId="10" borderId="2" xfId="0" applyFont="1" applyFill="1" applyBorder="1" applyAlignment="1">
      <alignment vertical="top" wrapText="1"/>
    </xf>
    <xf numFmtId="0" fontId="10" fillId="9" borderId="2" xfId="0" applyFont="1" applyFill="1" applyBorder="1" applyAlignment="1">
      <alignment vertical="top" wrapText="1"/>
    </xf>
    <xf numFmtId="0" fontId="9" fillId="11" borderId="2" xfId="0" applyFont="1" applyFill="1" applyBorder="1" applyAlignment="1">
      <alignment vertical="top" wrapText="1"/>
    </xf>
    <xf numFmtId="0" fontId="0" fillId="0" borderId="0" xfId="0"/>
    <xf numFmtId="0" fontId="13" fillId="12" borderId="5" xfId="0" applyFont="1" applyFill="1" applyBorder="1" applyAlignment="1">
      <alignment wrapText="1"/>
    </xf>
    <xf numFmtId="0" fontId="0" fillId="12" borderId="5" xfId="0" applyFill="1" applyBorder="1"/>
    <xf numFmtId="0" fontId="14" fillId="12" borderId="5" xfId="0" applyFont="1" applyFill="1" applyBorder="1" applyAlignment="1">
      <alignment vertical="top" wrapText="1"/>
    </xf>
    <xf numFmtId="0" fontId="15" fillId="0" borderId="5" xfId="0" applyFont="1" applyBorder="1" applyAlignment="1">
      <alignment horizontal="left" vertical="top" wrapText="1"/>
    </xf>
    <xf numFmtId="0" fontId="15" fillId="0" borderId="5" xfId="0" applyFont="1" applyBorder="1" applyAlignment="1">
      <alignment vertical="top" wrapText="1"/>
    </xf>
    <xf numFmtId="0" fontId="0" fillId="0" borderId="5" xfId="0" applyBorder="1" applyAlignment="1">
      <alignment vertical="top" wrapText="1"/>
    </xf>
    <xf numFmtId="0" fontId="0" fillId="0" borderId="5" xfId="0" applyBorder="1" applyAlignment="1">
      <alignment horizontal="left" vertical="top" wrapText="1"/>
    </xf>
    <xf numFmtId="0" fontId="15" fillId="0" borderId="5" xfId="0" applyFont="1" applyBorder="1" applyAlignment="1">
      <alignment wrapText="1"/>
    </xf>
    <xf numFmtId="0" fontId="0" fillId="0" borderId="5" xfId="0" applyBorder="1"/>
    <xf numFmtId="0" fontId="16" fillId="7" borderId="2" xfId="0" applyFont="1" applyFill="1" applyBorder="1" applyAlignment="1">
      <alignment horizontal="center" vertical="top" wrapText="1"/>
    </xf>
    <xf numFmtId="0" fontId="17" fillId="0" borderId="0" xfId="0" applyFont="1"/>
    <xf numFmtId="0" fontId="18" fillId="7" borderId="2" xfId="0" applyFont="1" applyFill="1" applyBorder="1" applyAlignment="1">
      <alignment horizontal="center" vertical="top" wrapText="1"/>
    </xf>
    <xf numFmtId="0" fontId="19" fillId="10" borderId="2" xfId="0" applyFont="1" applyFill="1" applyBorder="1" applyAlignment="1">
      <alignment vertical="top" wrapText="1"/>
    </xf>
    <xf numFmtId="0" fontId="20" fillId="9" borderId="2" xfId="0" applyFont="1" applyFill="1" applyBorder="1" applyAlignment="1">
      <alignment vertical="top" wrapText="1"/>
    </xf>
    <xf numFmtId="0" fontId="21" fillId="0" borderId="0" xfId="0" applyFont="1"/>
    <xf numFmtId="0" fontId="12" fillId="0" borderId="0" xfId="0" applyFont="1"/>
    <xf numFmtId="0" fontId="0" fillId="0" borderId="0" xfId="0"/>
    <xf numFmtId="0" fontId="8" fillId="8" borderId="2" xfId="0" applyFont="1" applyFill="1" applyBorder="1" applyAlignment="1">
      <alignment vertical="top" wrapText="1"/>
    </xf>
    <xf numFmtId="0" fontId="0" fillId="0" borderId="3" xfId="0" applyBorder="1"/>
    <xf numFmtId="0" fontId="0" fillId="0" borderId="4" xfId="0" applyBorder="1"/>
    <xf numFmtId="0" fontId="7" fillId="0" borderId="0" xfId="0" applyFont="1" applyAlignment="1">
      <alignment vertical="top" wrapText="1"/>
    </xf>
    <xf numFmtId="0" fontId="21" fillId="0" borderId="0" xfId="0" applyFont="1"/>
    <xf numFmtId="0" fontId="17"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100"/>
      <rgbColor rgb="FF000080"/>
      <rgbColor rgb="FF9C6500"/>
      <rgbColor rgb="FF800080"/>
      <rgbColor rgb="FF008080"/>
      <rgbColor rgb="FFBFBFBF"/>
      <rgbColor rgb="FF808080"/>
      <rgbColor rgb="FF9999FF"/>
      <rgbColor rgb="FF993366"/>
      <rgbColor rgb="FFFFFFF0"/>
      <rgbColor rgb="FFF7F9FC"/>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C99"/>
      <rgbColor rgb="FF2E75B6"/>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
  <sheetViews>
    <sheetView workbookViewId="0">
      <selection activeCell="A16" sqref="A16"/>
    </sheetView>
  </sheetViews>
  <sheetFormatPr defaultRowHeight="15" x14ac:dyDescent="0.25"/>
  <cols>
    <col min="1" max="1" width="76.5703125" style="23" customWidth="1"/>
    <col min="3" max="3" width="77.42578125" style="23" customWidth="1"/>
  </cols>
  <sheetData>
    <row r="1" spans="1:3" ht="21" customHeight="1" x14ac:dyDescent="0.35">
      <c r="A1" s="24" t="s">
        <v>0</v>
      </c>
      <c r="B1" s="25"/>
      <c r="C1" s="26" t="s">
        <v>1</v>
      </c>
    </row>
    <row r="2" spans="1:3" ht="45" customHeight="1" x14ac:dyDescent="0.25">
      <c r="A2" s="27" t="s">
        <v>2</v>
      </c>
      <c r="B2" s="25"/>
      <c r="C2" s="28" t="s">
        <v>3</v>
      </c>
    </row>
    <row r="3" spans="1:3" ht="30" customHeight="1" x14ac:dyDescent="0.25">
      <c r="A3" s="27" t="s">
        <v>4</v>
      </c>
      <c r="B3" s="25"/>
      <c r="C3" s="29" t="s">
        <v>5</v>
      </c>
    </row>
    <row r="4" spans="1:3" ht="30" customHeight="1" x14ac:dyDescent="0.25">
      <c r="A4" s="30" t="s">
        <v>6</v>
      </c>
      <c r="B4" s="25"/>
      <c r="C4" s="28" t="s">
        <v>7</v>
      </c>
    </row>
    <row r="5" spans="1:3" ht="45" customHeight="1" x14ac:dyDescent="0.25">
      <c r="A5" s="30" t="s">
        <v>8</v>
      </c>
      <c r="B5" s="25"/>
      <c r="C5" s="29" t="s">
        <v>9</v>
      </c>
    </row>
    <row r="6" spans="1:3" x14ac:dyDescent="0.25">
      <c r="A6" s="30" t="s">
        <v>10</v>
      </c>
      <c r="B6" s="25"/>
      <c r="C6" s="28" t="s">
        <v>11</v>
      </c>
    </row>
    <row r="7" spans="1:3" x14ac:dyDescent="0.25">
      <c r="A7" s="27" t="s">
        <v>12</v>
      </c>
      <c r="B7" s="25"/>
      <c r="C7" s="29" t="s">
        <v>13</v>
      </c>
    </row>
    <row r="8" spans="1:3" x14ac:dyDescent="0.25">
      <c r="A8" s="30" t="s">
        <v>14</v>
      </c>
      <c r="B8" s="25"/>
      <c r="C8" s="28" t="s">
        <v>15</v>
      </c>
    </row>
    <row r="9" spans="1:3" x14ac:dyDescent="0.25">
      <c r="A9" s="30" t="s">
        <v>16</v>
      </c>
      <c r="B9" s="25"/>
      <c r="C9" s="29" t="s">
        <v>17</v>
      </c>
    </row>
    <row r="10" spans="1:3" x14ac:dyDescent="0.25">
      <c r="A10" s="30" t="s">
        <v>18</v>
      </c>
      <c r="B10" s="25"/>
      <c r="C10" s="28" t="s">
        <v>19</v>
      </c>
    </row>
    <row r="11" spans="1:3" ht="30" customHeight="1" x14ac:dyDescent="0.25">
      <c r="A11" s="30" t="s">
        <v>20</v>
      </c>
      <c r="B11" s="25"/>
      <c r="C11" s="29" t="s">
        <v>21</v>
      </c>
    </row>
    <row r="12" spans="1:3" x14ac:dyDescent="0.25">
      <c r="A12" s="27" t="s">
        <v>22</v>
      </c>
      <c r="B12" s="25"/>
      <c r="C12" s="28" t="s">
        <v>23</v>
      </c>
    </row>
    <row r="13" spans="1:3" ht="30" customHeight="1" x14ac:dyDescent="0.25">
      <c r="A13" s="30" t="s">
        <v>24</v>
      </c>
      <c r="B13" s="25"/>
      <c r="C13" s="29" t="s">
        <v>25</v>
      </c>
    </row>
    <row r="14" spans="1:3" ht="30" customHeight="1" x14ac:dyDescent="0.25">
      <c r="A14" s="30" t="s">
        <v>26</v>
      </c>
      <c r="B14" s="25"/>
      <c r="C14" s="28" t="s">
        <v>27</v>
      </c>
    </row>
    <row r="15" spans="1:3" ht="30" customHeight="1" x14ac:dyDescent="0.25">
      <c r="A15" s="27" t="s">
        <v>28</v>
      </c>
      <c r="B15" s="25"/>
      <c r="C15" s="31"/>
    </row>
    <row r="16" spans="1:3" ht="30" customHeight="1" x14ac:dyDescent="0.25">
      <c r="A16" s="30" t="s">
        <v>29</v>
      </c>
      <c r="B16" s="25"/>
      <c r="C16" s="32"/>
    </row>
    <row r="17" spans="1:3" ht="30" customHeight="1" x14ac:dyDescent="0.25">
      <c r="A17" s="30" t="s">
        <v>30</v>
      </c>
      <c r="B17" s="25"/>
      <c r="C17" s="32"/>
    </row>
    <row r="18" spans="1:3" x14ac:dyDescent="0.25">
      <c r="A18" s="30" t="s">
        <v>31</v>
      </c>
      <c r="B18" s="25"/>
      <c r="C18" s="32"/>
    </row>
    <row r="19" spans="1:3" ht="45" customHeight="1" x14ac:dyDescent="0.25">
      <c r="A19" s="30" t="s">
        <v>32</v>
      </c>
      <c r="B19" s="25"/>
      <c r="C19" s="3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46"/>
  <sheetViews>
    <sheetView tabSelected="1" zoomScaleNormal="100" workbookViewId="0">
      <pane ySplit="2" topLeftCell="A3" activePane="bottomLeft" state="frozen"/>
      <selection pane="bottomLeft" activeCell="B6" sqref="B6"/>
    </sheetView>
  </sheetViews>
  <sheetFormatPr defaultColWidth="8.7109375" defaultRowHeight="75" customHeight="1" x14ac:dyDescent="0.25"/>
  <cols>
    <col min="1" max="1" width="24.85546875" style="23" bestFit="1" customWidth="1"/>
    <col min="2" max="2" width="45" style="23" customWidth="1"/>
    <col min="3" max="3" width="9" style="23" customWidth="1"/>
    <col min="4" max="4" width="69" style="23" customWidth="1"/>
    <col min="5" max="5" width="60.7109375" style="23" customWidth="1"/>
    <col min="6" max="7" width="10" style="23" customWidth="1"/>
    <col min="8" max="8" width="7" style="23" customWidth="1"/>
    <col min="9" max="9" width="36.140625" style="23" customWidth="1"/>
  </cols>
  <sheetData>
    <row r="1" spans="1:9" ht="16.5" customHeight="1" x14ac:dyDescent="0.25">
      <c r="A1" s="39" t="s">
        <v>33</v>
      </c>
      <c r="B1" s="40"/>
      <c r="C1" s="40"/>
      <c r="D1" s="40"/>
      <c r="E1" s="40"/>
      <c r="F1" s="40"/>
      <c r="G1" s="40"/>
      <c r="H1" s="40"/>
      <c r="I1" s="40"/>
    </row>
    <row r="2" spans="1:9" ht="75" customHeight="1" x14ac:dyDescent="0.25">
      <c r="A2" s="1" t="s">
        <v>34</v>
      </c>
      <c r="B2" s="1" t="s">
        <v>35</v>
      </c>
      <c r="C2" s="1" t="s">
        <v>36</v>
      </c>
      <c r="D2" s="1" t="s">
        <v>37</v>
      </c>
      <c r="E2" s="1" t="s">
        <v>38</v>
      </c>
      <c r="F2" s="1" t="s">
        <v>39</v>
      </c>
      <c r="G2" s="1" t="s">
        <v>40</v>
      </c>
      <c r="H2" s="1" t="s">
        <v>41</v>
      </c>
      <c r="I2" s="1" t="s">
        <v>42</v>
      </c>
    </row>
    <row r="3" spans="1:9" ht="75" customHeight="1" x14ac:dyDescent="0.25">
      <c r="A3" s="2" t="s">
        <v>43</v>
      </c>
      <c r="B3" s="3" t="s">
        <v>44</v>
      </c>
      <c r="C3" s="4"/>
      <c r="D3" s="4"/>
      <c r="E3" s="4"/>
      <c r="F3" s="4"/>
      <c r="G3" s="4"/>
      <c r="H3" s="4"/>
      <c r="I3" s="4"/>
    </row>
    <row r="4" spans="1:9" ht="75" customHeight="1" x14ac:dyDescent="0.25">
      <c r="A4" s="5" t="s">
        <v>45</v>
      </c>
      <c r="B4" s="6" t="s">
        <v>46</v>
      </c>
      <c r="C4" s="7"/>
      <c r="D4" s="7"/>
      <c r="E4" s="7"/>
      <c r="F4" s="7"/>
      <c r="G4" s="7"/>
      <c r="H4" s="7"/>
      <c r="I4" s="7"/>
    </row>
    <row r="5" spans="1:9" ht="75" customHeight="1" x14ac:dyDescent="0.25">
      <c r="A5" s="8" t="s">
        <v>47</v>
      </c>
      <c r="B5" s="9" t="s">
        <v>48</v>
      </c>
      <c r="C5" s="10" t="s">
        <v>49</v>
      </c>
      <c r="D5" s="11"/>
      <c r="E5" s="11"/>
      <c r="F5" s="10"/>
      <c r="G5" s="10"/>
      <c r="H5" s="12" t="str">
        <f>IF(AND(F5&lt;&gt;"",G5&lt;&gt;""),IF(LEFT(F5,1)*1&lt;LEFT(G5,1)*1,"GAP","OK"),"")</f>
        <v/>
      </c>
      <c r="I5" s="9"/>
    </row>
    <row r="6" spans="1:9" ht="75" customHeight="1" x14ac:dyDescent="0.25">
      <c r="A6" s="13" t="s">
        <v>50</v>
      </c>
      <c r="B6" s="14" t="s">
        <v>51</v>
      </c>
      <c r="C6" s="10" t="s">
        <v>49</v>
      </c>
      <c r="D6" s="11"/>
      <c r="E6" s="11"/>
      <c r="F6" s="10"/>
      <c r="G6" s="10"/>
      <c r="H6" s="12" t="str">
        <f>IF(AND(F6&lt;&gt;"",G6&lt;&gt;""),IF(LEFT(F6,1)*1&lt;LEFT(G6,1)*1,"GAP","OK"),"")</f>
        <v/>
      </c>
      <c r="I6" s="14"/>
    </row>
    <row r="7" spans="1:9" ht="75" customHeight="1" x14ac:dyDescent="0.25">
      <c r="A7" s="8" t="s">
        <v>52</v>
      </c>
      <c r="B7" s="9" t="s">
        <v>53</v>
      </c>
      <c r="C7" s="10" t="s">
        <v>49</v>
      </c>
      <c r="D7" s="11"/>
      <c r="E7" s="11"/>
      <c r="F7" s="10"/>
      <c r="G7" s="10"/>
      <c r="H7" s="12" t="str">
        <f>IF(AND(F7&lt;&gt;"",G7&lt;&gt;""),IF(LEFT(F7,1)*1&lt;LEFT(G7,1)*1,"GAP","OK"),"")</f>
        <v/>
      </c>
      <c r="I7" s="9"/>
    </row>
    <row r="8" spans="1:9" ht="75" customHeight="1" x14ac:dyDescent="0.25">
      <c r="A8" s="13" t="s">
        <v>54</v>
      </c>
      <c r="B8" s="14" t="s">
        <v>55</v>
      </c>
      <c r="C8" s="10" t="s">
        <v>49</v>
      </c>
      <c r="D8" s="11"/>
      <c r="E8" s="11"/>
      <c r="F8" s="10"/>
      <c r="G8" s="10"/>
      <c r="H8" s="12" t="str">
        <f>IF(AND(F8&lt;&gt;"",G8&lt;&gt;""),IF(LEFT(F8,1)*1&lt;LEFT(G8,1)*1,"GAP","OK"),"")</f>
        <v/>
      </c>
      <c r="I8" s="14"/>
    </row>
    <row r="9" spans="1:9" ht="75" customHeight="1" x14ac:dyDescent="0.25">
      <c r="A9" s="8" t="s">
        <v>56</v>
      </c>
      <c r="B9" s="9" t="s">
        <v>57</v>
      </c>
      <c r="C9" s="10" t="s">
        <v>49</v>
      </c>
      <c r="D9" s="11"/>
      <c r="E9" s="11"/>
      <c r="F9" s="10"/>
      <c r="G9" s="10"/>
      <c r="H9" s="12" t="str">
        <f>IF(AND(F9&lt;&gt;"",G9&lt;&gt;""),IF(LEFT(F9,1)*1&lt;LEFT(G9,1)*1,"GAP","OK"),"")</f>
        <v/>
      </c>
      <c r="I9" s="9"/>
    </row>
    <row r="10" spans="1:9" ht="75" customHeight="1" x14ac:dyDescent="0.25">
      <c r="A10" s="5" t="s">
        <v>58</v>
      </c>
      <c r="B10" s="6" t="s">
        <v>59</v>
      </c>
      <c r="C10" s="7"/>
      <c r="D10" s="7"/>
      <c r="E10" s="7"/>
      <c r="F10" s="7"/>
      <c r="G10" s="7"/>
      <c r="H10" s="7"/>
      <c r="I10" s="7"/>
    </row>
    <row r="11" spans="1:9" ht="75" customHeight="1" x14ac:dyDescent="0.25">
      <c r="A11" s="8" t="s">
        <v>60</v>
      </c>
      <c r="B11" s="9" t="s">
        <v>61</v>
      </c>
      <c r="C11" s="10" t="s">
        <v>49</v>
      </c>
      <c r="D11" s="11"/>
      <c r="E11" s="11"/>
      <c r="F11" s="10"/>
      <c r="G11" s="10"/>
      <c r="H11" s="12" t="str">
        <f t="shared" ref="H11:H17" si="0">IF(AND(F11&lt;&gt;"",G11&lt;&gt;""),IF(LEFT(F11,1)*1&lt;LEFT(G11,1)*1,"GAP","OK"),"")</f>
        <v/>
      </c>
      <c r="I11" s="9"/>
    </row>
    <row r="12" spans="1:9" ht="75" customHeight="1" x14ac:dyDescent="0.25">
      <c r="A12" s="13" t="s">
        <v>62</v>
      </c>
      <c r="B12" s="14" t="s">
        <v>63</v>
      </c>
      <c r="C12" s="10" t="s">
        <v>49</v>
      </c>
      <c r="D12" s="11"/>
      <c r="E12" s="11"/>
      <c r="F12" s="10"/>
      <c r="G12" s="10"/>
      <c r="H12" s="12" t="str">
        <f t="shared" si="0"/>
        <v/>
      </c>
      <c r="I12" s="14"/>
    </row>
    <row r="13" spans="1:9" ht="75" customHeight="1" x14ac:dyDescent="0.25">
      <c r="A13" s="8" t="s">
        <v>64</v>
      </c>
      <c r="B13" s="9" t="s">
        <v>65</v>
      </c>
      <c r="C13" s="10" t="s">
        <v>49</v>
      </c>
      <c r="D13" s="11"/>
      <c r="E13" s="11"/>
      <c r="F13" s="10"/>
      <c r="G13" s="10"/>
      <c r="H13" s="12" t="str">
        <f t="shared" si="0"/>
        <v/>
      </c>
      <c r="I13" s="9"/>
    </row>
    <row r="14" spans="1:9" ht="75" customHeight="1" x14ac:dyDescent="0.25">
      <c r="A14" s="13" t="s">
        <v>66</v>
      </c>
      <c r="B14" s="14" t="s">
        <v>67</v>
      </c>
      <c r="C14" s="10" t="s">
        <v>49</v>
      </c>
      <c r="D14" s="11"/>
      <c r="E14" s="11"/>
      <c r="F14" s="10"/>
      <c r="G14" s="10"/>
      <c r="H14" s="12" t="str">
        <f t="shared" si="0"/>
        <v/>
      </c>
      <c r="I14" s="14"/>
    </row>
    <row r="15" spans="1:9" ht="75" customHeight="1" x14ac:dyDescent="0.25">
      <c r="A15" s="8" t="s">
        <v>68</v>
      </c>
      <c r="B15" s="9" t="s">
        <v>69</v>
      </c>
      <c r="C15" s="10" t="s">
        <v>49</v>
      </c>
      <c r="D15" s="11"/>
      <c r="E15" s="11"/>
      <c r="F15" s="10"/>
      <c r="G15" s="10"/>
      <c r="H15" s="12" t="str">
        <f t="shared" si="0"/>
        <v/>
      </c>
      <c r="I15" s="9"/>
    </row>
    <row r="16" spans="1:9" ht="75" customHeight="1" x14ac:dyDescent="0.25">
      <c r="A16" s="13" t="s">
        <v>70</v>
      </c>
      <c r="B16" s="14" t="s">
        <v>71</v>
      </c>
      <c r="C16" s="10" t="s">
        <v>49</v>
      </c>
      <c r="D16" s="11"/>
      <c r="E16" s="11"/>
      <c r="F16" s="10"/>
      <c r="G16" s="10"/>
      <c r="H16" s="12" t="str">
        <f t="shared" si="0"/>
        <v/>
      </c>
      <c r="I16" s="14"/>
    </row>
    <row r="17" spans="1:9" ht="75" customHeight="1" x14ac:dyDescent="0.25">
      <c r="A17" s="8" t="s">
        <v>72</v>
      </c>
      <c r="B17" s="9" t="s">
        <v>73</v>
      </c>
      <c r="C17" s="10" t="s">
        <v>49</v>
      </c>
      <c r="D17" s="11"/>
      <c r="E17" s="11"/>
      <c r="F17" s="10"/>
      <c r="G17" s="10"/>
      <c r="H17" s="12" t="str">
        <f t="shared" si="0"/>
        <v/>
      </c>
      <c r="I17" s="9"/>
    </row>
    <row r="18" spans="1:9" ht="75" customHeight="1" x14ac:dyDescent="0.25">
      <c r="A18" s="5" t="s">
        <v>74</v>
      </c>
      <c r="B18" s="6" t="s">
        <v>75</v>
      </c>
      <c r="C18" s="7"/>
      <c r="D18" s="7"/>
      <c r="E18" s="7"/>
      <c r="F18" s="7"/>
      <c r="G18" s="7"/>
      <c r="H18" s="7"/>
      <c r="I18" s="7"/>
    </row>
    <row r="19" spans="1:9" ht="75" customHeight="1" x14ac:dyDescent="0.25">
      <c r="A19" s="8" t="s">
        <v>76</v>
      </c>
      <c r="B19" s="9" t="s">
        <v>77</v>
      </c>
      <c r="C19" s="10" t="s">
        <v>49</v>
      </c>
      <c r="D19" s="11"/>
      <c r="E19" s="11"/>
      <c r="F19" s="10"/>
      <c r="G19" s="10"/>
      <c r="H19" s="12" t="str">
        <f>IF(AND(F19&lt;&gt;"",G19&lt;&gt;""),IF(LEFT(F19,1)*1&lt;LEFT(G19,1)*1,"GAP","OK"),"")</f>
        <v/>
      </c>
      <c r="I19" s="9"/>
    </row>
    <row r="20" spans="1:9" ht="75" customHeight="1" x14ac:dyDescent="0.25">
      <c r="A20" s="13" t="s">
        <v>78</v>
      </c>
      <c r="B20" s="14" t="s">
        <v>79</v>
      </c>
      <c r="C20" s="10" t="s">
        <v>49</v>
      </c>
      <c r="D20" s="11"/>
      <c r="E20" s="11"/>
      <c r="F20" s="10"/>
      <c r="G20" s="10"/>
      <c r="H20" s="12" t="str">
        <f>IF(AND(F20&lt;&gt;"",G20&lt;&gt;""),IF(LEFT(F20,1)*1&lt;LEFT(G20,1)*1,"GAP","OK"),"")</f>
        <v/>
      </c>
      <c r="I20" s="14"/>
    </row>
    <row r="21" spans="1:9" ht="75" customHeight="1" x14ac:dyDescent="0.25">
      <c r="A21" s="8" t="s">
        <v>80</v>
      </c>
      <c r="B21" s="9" t="s">
        <v>81</v>
      </c>
      <c r="C21" s="10" t="s">
        <v>49</v>
      </c>
      <c r="D21" s="11"/>
      <c r="E21" s="11"/>
      <c r="F21" s="10"/>
      <c r="G21" s="10"/>
      <c r="H21" s="12" t="str">
        <f>IF(AND(F21&lt;&gt;"",G21&lt;&gt;""),IF(LEFT(F21,1)*1&lt;LEFT(G21,1)*1,"GAP","OK"),"")</f>
        <v/>
      </c>
      <c r="I21" s="9"/>
    </row>
    <row r="22" spans="1:9" ht="75" customHeight="1" x14ac:dyDescent="0.25">
      <c r="A22" s="13" t="s">
        <v>82</v>
      </c>
      <c r="B22" s="14" t="s">
        <v>83</v>
      </c>
      <c r="C22" s="10" t="s">
        <v>49</v>
      </c>
      <c r="D22" s="11"/>
      <c r="E22" s="11"/>
      <c r="F22" s="10"/>
      <c r="G22" s="10"/>
      <c r="H22" s="12" t="str">
        <f>IF(AND(F22&lt;&gt;"",G22&lt;&gt;""),IF(LEFT(F22,1)*1&lt;LEFT(G22,1)*1,"GAP","OK"),"")</f>
        <v/>
      </c>
      <c r="I22" s="14"/>
    </row>
    <row r="23" spans="1:9" ht="75" customHeight="1" x14ac:dyDescent="0.25">
      <c r="A23" s="5" t="s">
        <v>84</v>
      </c>
      <c r="B23" s="6" t="s">
        <v>85</v>
      </c>
      <c r="C23" s="7"/>
      <c r="D23" s="7"/>
      <c r="E23" s="7"/>
      <c r="F23" s="7"/>
      <c r="G23" s="7"/>
      <c r="H23" s="7"/>
      <c r="I23" s="7"/>
    </row>
    <row r="24" spans="1:9" ht="75" customHeight="1" x14ac:dyDescent="0.25">
      <c r="A24" s="8" t="s">
        <v>86</v>
      </c>
      <c r="B24" s="9" t="s">
        <v>87</v>
      </c>
      <c r="C24" s="10" t="s">
        <v>49</v>
      </c>
      <c r="D24" s="11"/>
      <c r="E24" s="11"/>
      <c r="F24" s="10"/>
      <c r="G24" s="10"/>
      <c r="H24" s="12" t="str">
        <f>IF(AND(F24&lt;&gt;"",G24&lt;&gt;""),IF(LEFT(F24,1)*1&lt;LEFT(G24,1)*1,"GAP","OK"),"")</f>
        <v/>
      </c>
      <c r="I24" s="9"/>
    </row>
    <row r="25" spans="1:9" ht="75" customHeight="1" x14ac:dyDescent="0.25">
      <c r="A25" s="13" t="s">
        <v>88</v>
      </c>
      <c r="B25" s="14" t="s">
        <v>89</v>
      </c>
      <c r="C25" s="10" t="s">
        <v>49</v>
      </c>
      <c r="D25" s="11"/>
      <c r="E25" s="11"/>
      <c r="F25" s="10"/>
      <c r="G25" s="10"/>
      <c r="H25" s="12" t="str">
        <f>IF(AND(F25&lt;&gt;"",G25&lt;&gt;""),IF(LEFT(F25,1)*1&lt;LEFT(G25,1)*1,"GAP","OK"),"")</f>
        <v/>
      </c>
      <c r="I25" s="14"/>
    </row>
    <row r="26" spans="1:9" ht="75" customHeight="1" x14ac:dyDescent="0.25">
      <c r="A26" s="5" t="s">
        <v>90</v>
      </c>
      <c r="B26" s="6" t="s">
        <v>91</v>
      </c>
      <c r="C26" s="7"/>
      <c r="D26" s="7"/>
      <c r="E26" s="7"/>
      <c r="F26" s="7"/>
      <c r="G26" s="7"/>
      <c r="H26" s="7"/>
      <c r="I26" s="7"/>
    </row>
    <row r="27" spans="1:9" ht="75" customHeight="1" x14ac:dyDescent="0.25">
      <c r="A27" s="8" t="s">
        <v>92</v>
      </c>
      <c r="B27" s="9" t="s">
        <v>93</v>
      </c>
      <c r="C27" s="10" t="s">
        <v>49</v>
      </c>
      <c r="D27" s="11"/>
      <c r="E27" s="11"/>
      <c r="F27" s="10"/>
      <c r="G27" s="10"/>
      <c r="H27" s="12" t="str">
        <f>IF(AND(F27&lt;&gt;"",G27&lt;&gt;""),IF(LEFT(F27,1)*1&lt;LEFT(G27,1)*1,"GAP","OK"),"")</f>
        <v/>
      </c>
      <c r="I27" s="9"/>
    </row>
    <row r="28" spans="1:9" ht="75" customHeight="1" x14ac:dyDescent="0.25">
      <c r="A28" s="13" t="s">
        <v>94</v>
      </c>
      <c r="B28" s="14" t="s">
        <v>95</v>
      </c>
      <c r="C28" s="10" t="s">
        <v>49</v>
      </c>
      <c r="D28" s="11"/>
      <c r="E28" s="11"/>
      <c r="F28" s="10"/>
      <c r="G28" s="10"/>
      <c r="H28" s="12" t="str">
        <f>IF(AND(F28&lt;&gt;"",G28&lt;&gt;""),IF(LEFT(F28,1)*1&lt;LEFT(G28,1)*1,"GAP","OK"),"")</f>
        <v/>
      </c>
      <c r="I28" s="14"/>
    </row>
    <row r="29" spans="1:9" ht="75" customHeight="1" x14ac:dyDescent="0.25">
      <c r="A29" s="8" t="s">
        <v>96</v>
      </c>
      <c r="B29" s="9" t="s">
        <v>97</v>
      </c>
      <c r="C29" s="10" t="s">
        <v>49</v>
      </c>
      <c r="D29" s="11"/>
      <c r="E29" s="11"/>
      <c r="F29" s="10"/>
      <c r="G29" s="10"/>
      <c r="H29" s="12" t="str">
        <f>IF(AND(F29&lt;&gt;"",G29&lt;&gt;""),IF(LEFT(F29,1)*1&lt;LEFT(G29,1)*1,"GAP","OK"),"")</f>
        <v/>
      </c>
      <c r="I29" s="9"/>
    </row>
    <row r="30" spans="1:9" ht="75" customHeight="1" x14ac:dyDescent="0.25">
      <c r="A30" s="5" t="s">
        <v>98</v>
      </c>
      <c r="B30" s="6" t="s">
        <v>99</v>
      </c>
      <c r="C30" s="7"/>
      <c r="D30" s="7"/>
      <c r="E30" s="7"/>
      <c r="F30" s="7"/>
      <c r="G30" s="7"/>
      <c r="H30" s="7"/>
      <c r="I30" s="7"/>
    </row>
    <row r="31" spans="1:9" ht="75" customHeight="1" x14ac:dyDescent="0.25">
      <c r="A31" s="8" t="s">
        <v>100</v>
      </c>
      <c r="B31" s="9" t="s">
        <v>101</v>
      </c>
      <c r="C31" s="10" t="s">
        <v>49</v>
      </c>
      <c r="D31" s="11"/>
      <c r="E31" s="11"/>
      <c r="F31" s="10"/>
      <c r="G31" s="10"/>
      <c r="H31" s="12" t="str">
        <f t="shared" ref="H31:H40" si="1">IF(AND(F31&lt;&gt;"",G31&lt;&gt;""),IF(LEFT(F31,1)*1&lt;LEFT(G31,1)*1,"GAP","OK"),"")</f>
        <v/>
      </c>
      <c r="I31" s="9"/>
    </row>
    <row r="32" spans="1:9" ht="75" customHeight="1" x14ac:dyDescent="0.25">
      <c r="A32" s="13" t="s">
        <v>102</v>
      </c>
      <c r="B32" s="14" t="s">
        <v>103</v>
      </c>
      <c r="C32" s="10" t="s">
        <v>49</v>
      </c>
      <c r="D32" s="11"/>
      <c r="E32" s="11"/>
      <c r="F32" s="10"/>
      <c r="G32" s="10"/>
      <c r="H32" s="12" t="str">
        <f t="shared" si="1"/>
        <v/>
      </c>
      <c r="I32" s="14"/>
    </row>
    <row r="33" spans="1:9" ht="75" customHeight="1" x14ac:dyDescent="0.25">
      <c r="A33" s="8" t="s">
        <v>104</v>
      </c>
      <c r="B33" s="9" t="s">
        <v>105</v>
      </c>
      <c r="C33" s="10" t="s">
        <v>49</v>
      </c>
      <c r="D33" s="11"/>
      <c r="E33" s="11"/>
      <c r="F33" s="10"/>
      <c r="G33" s="10"/>
      <c r="H33" s="12" t="str">
        <f t="shared" si="1"/>
        <v/>
      </c>
      <c r="I33" s="9"/>
    </row>
    <row r="34" spans="1:9" ht="75" customHeight="1" x14ac:dyDescent="0.25">
      <c r="A34" s="13" t="s">
        <v>106</v>
      </c>
      <c r="B34" s="14" t="s">
        <v>107</v>
      </c>
      <c r="C34" s="10" t="s">
        <v>49</v>
      </c>
      <c r="D34" s="11"/>
      <c r="E34" s="11"/>
      <c r="F34" s="10"/>
      <c r="G34" s="10"/>
      <c r="H34" s="12" t="str">
        <f t="shared" si="1"/>
        <v/>
      </c>
      <c r="I34" s="14"/>
    </row>
    <row r="35" spans="1:9" ht="75" customHeight="1" x14ac:dyDescent="0.25">
      <c r="A35" s="8" t="s">
        <v>108</v>
      </c>
      <c r="B35" s="9" t="s">
        <v>109</v>
      </c>
      <c r="C35" s="10" t="s">
        <v>49</v>
      </c>
      <c r="D35" s="11"/>
      <c r="E35" s="11"/>
      <c r="F35" s="10"/>
      <c r="G35" s="10"/>
      <c r="H35" s="12" t="str">
        <f t="shared" si="1"/>
        <v/>
      </c>
      <c r="I35" s="9"/>
    </row>
    <row r="36" spans="1:9" ht="75" customHeight="1" x14ac:dyDescent="0.25">
      <c r="A36" s="13" t="s">
        <v>110</v>
      </c>
      <c r="B36" s="14" t="s">
        <v>111</v>
      </c>
      <c r="C36" s="10" t="s">
        <v>49</v>
      </c>
      <c r="D36" s="11"/>
      <c r="E36" s="11"/>
      <c r="F36" s="10"/>
      <c r="G36" s="10"/>
      <c r="H36" s="12" t="str">
        <f t="shared" si="1"/>
        <v/>
      </c>
      <c r="I36" s="14"/>
    </row>
    <row r="37" spans="1:9" ht="75" customHeight="1" x14ac:dyDescent="0.25">
      <c r="A37" s="8" t="s">
        <v>112</v>
      </c>
      <c r="B37" s="9" t="s">
        <v>113</v>
      </c>
      <c r="C37" s="10" t="s">
        <v>49</v>
      </c>
      <c r="D37" s="11"/>
      <c r="E37" s="11"/>
      <c r="F37" s="10"/>
      <c r="G37" s="10"/>
      <c r="H37" s="12" t="str">
        <f t="shared" si="1"/>
        <v/>
      </c>
      <c r="I37" s="9"/>
    </row>
    <row r="38" spans="1:9" ht="75" customHeight="1" x14ac:dyDescent="0.25">
      <c r="A38" s="13" t="s">
        <v>114</v>
      </c>
      <c r="B38" s="14" t="s">
        <v>115</v>
      </c>
      <c r="C38" s="10" t="s">
        <v>49</v>
      </c>
      <c r="D38" s="11"/>
      <c r="E38" s="11"/>
      <c r="F38" s="10"/>
      <c r="G38" s="10"/>
      <c r="H38" s="12" t="str">
        <f t="shared" si="1"/>
        <v/>
      </c>
      <c r="I38" s="14"/>
    </row>
    <row r="39" spans="1:9" ht="75" customHeight="1" x14ac:dyDescent="0.25">
      <c r="A39" s="8" t="s">
        <v>116</v>
      </c>
      <c r="B39" s="9" t="s">
        <v>117</v>
      </c>
      <c r="C39" s="10" t="s">
        <v>49</v>
      </c>
      <c r="D39" s="11"/>
      <c r="E39" s="11"/>
      <c r="F39" s="10"/>
      <c r="G39" s="10"/>
      <c r="H39" s="12" t="str">
        <f t="shared" si="1"/>
        <v/>
      </c>
      <c r="I39" s="9"/>
    </row>
    <row r="40" spans="1:9" ht="75" customHeight="1" x14ac:dyDescent="0.25">
      <c r="A40" s="13" t="s">
        <v>118</v>
      </c>
      <c r="B40" s="14" t="s">
        <v>119</v>
      </c>
      <c r="C40" s="10" t="s">
        <v>49</v>
      </c>
      <c r="D40" s="11"/>
      <c r="E40" s="11"/>
      <c r="F40" s="10"/>
      <c r="G40" s="10"/>
      <c r="H40" s="12" t="str">
        <f t="shared" si="1"/>
        <v/>
      </c>
      <c r="I40" s="14"/>
    </row>
    <row r="41" spans="1:9" ht="75" customHeight="1" x14ac:dyDescent="0.25">
      <c r="A41" s="2" t="s">
        <v>34</v>
      </c>
      <c r="B41" s="3" t="s">
        <v>120</v>
      </c>
      <c r="C41" s="4"/>
      <c r="D41" s="4"/>
      <c r="E41" s="4"/>
      <c r="F41" s="4"/>
      <c r="G41" s="4"/>
      <c r="H41" s="4"/>
      <c r="I41" s="4"/>
    </row>
    <row r="42" spans="1:9" ht="75" customHeight="1" x14ac:dyDescent="0.25">
      <c r="A42" s="5" t="s">
        <v>121</v>
      </c>
      <c r="B42" s="6" t="s">
        <v>122</v>
      </c>
      <c r="C42" s="7"/>
      <c r="D42" s="7"/>
      <c r="E42" s="7"/>
      <c r="F42" s="7"/>
      <c r="G42" s="7"/>
      <c r="H42" s="7"/>
      <c r="I42" s="7"/>
    </row>
    <row r="43" spans="1:9" ht="75" customHeight="1" x14ac:dyDescent="0.25">
      <c r="A43" s="8" t="s">
        <v>123</v>
      </c>
      <c r="B43" s="9" t="s">
        <v>124</v>
      </c>
      <c r="C43" s="10" t="s">
        <v>49</v>
      </c>
      <c r="D43" s="11"/>
      <c r="E43" s="11"/>
      <c r="F43" s="10"/>
      <c r="G43" s="10"/>
      <c r="H43" s="12" t="str">
        <f t="shared" ref="H43:H49" si="2">IF(AND(F43&lt;&gt;"",G43&lt;&gt;""),IF(LEFT(F43,1)*1&lt;LEFT(G43,1)*1,"GAP","OK"),"")</f>
        <v/>
      </c>
      <c r="I43" s="9"/>
    </row>
    <row r="44" spans="1:9" ht="75" customHeight="1" x14ac:dyDescent="0.25">
      <c r="A44" s="13" t="s">
        <v>125</v>
      </c>
      <c r="B44" s="14" t="s">
        <v>126</v>
      </c>
      <c r="C44" s="10" t="s">
        <v>49</v>
      </c>
      <c r="D44" s="11"/>
      <c r="E44" s="11"/>
      <c r="F44" s="10"/>
      <c r="G44" s="10"/>
      <c r="H44" s="12" t="str">
        <f t="shared" si="2"/>
        <v/>
      </c>
      <c r="I44" s="14"/>
    </row>
    <row r="45" spans="1:9" ht="75" customHeight="1" x14ac:dyDescent="0.25">
      <c r="A45" s="8" t="s">
        <v>127</v>
      </c>
      <c r="B45" s="9" t="s">
        <v>128</v>
      </c>
      <c r="C45" s="10" t="s">
        <v>49</v>
      </c>
      <c r="D45" s="11"/>
      <c r="E45" s="11"/>
      <c r="F45" s="10"/>
      <c r="G45" s="10"/>
      <c r="H45" s="12" t="str">
        <f t="shared" si="2"/>
        <v/>
      </c>
      <c r="I45" s="9"/>
    </row>
    <row r="46" spans="1:9" ht="75" customHeight="1" x14ac:dyDescent="0.25">
      <c r="A46" s="13" t="s">
        <v>129</v>
      </c>
      <c r="B46" s="14" t="s">
        <v>130</v>
      </c>
      <c r="C46" s="10" t="s">
        <v>49</v>
      </c>
      <c r="D46" s="11"/>
      <c r="E46" s="11"/>
      <c r="F46" s="10"/>
      <c r="G46" s="10"/>
      <c r="H46" s="12" t="str">
        <f t="shared" si="2"/>
        <v/>
      </c>
      <c r="I46" s="14"/>
    </row>
    <row r="47" spans="1:9" ht="75" customHeight="1" x14ac:dyDescent="0.25">
      <c r="A47" s="8" t="s">
        <v>131</v>
      </c>
      <c r="B47" s="9" t="s">
        <v>132</v>
      </c>
      <c r="C47" s="10" t="s">
        <v>49</v>
      </c>
      <c r="D47" s="11"/>
      <c r="E47" s="11"/>
      <c r="F47" s="10"/>
      <c r="G47" s="10"/>
      <c r="H47" s="12" t="str">
        <f t="shared" si="2"/>
        <v/>
      </c>
      <c r="I47" s="9"/>
    </row>
    <row r="48" spans="1:9" ht="75" customHeight="1" x14ac:dyDescent="0.25">
      <c r="A48" s="13" t="s">
        <v>133</v>
      </c>
      <c r="B48" s="14" t="s">
        <v>134</v>
      </c>
      <c r="C48" s="10" t="s">
        <v>49</v>
      </c>
      <c r="D48" s="11"/>
      <c r="E48" s="11"/>
      <c r="F48" s="10"/>
      <c r="G48" s="10"/>
      <c r="H48" s="12" t="str">
        <f t="shared" si="2"/>
        <v/>
      </c>
      <c r="I48" s="14"/>
    </row>
    <row r="49" spans="1:9" ht="75" customHeight="1" x14ac:dyDescent="0.25">
      <c r="A49" s="8" t="s">
        <v>135</v>
      </c>
      <c r="B49" s="9" t="s">
        <v>136</v>
      </c>
      <c r="C49" s="10" t="s">
        <v>49</v>
      </c>
      <c r="D49" s="11"/>
      <c r="E49" s="11"/>
      <c r="F49" s="10"/>
      <c r="G49" s="10"/>
      <c r="H49" s="12" t="str">
        <f t="shared" si="2"/>
        <v/>
      </c>
      <c r="I49" s="9"/>
    </row>
    <row r="50" spans="1:9" ht="75" customHeight="1" x14ac:dyDescent="0.25">
      <c r="A50" s="5" t="s">
        <v>137</v>
      </c>
      <c r="B50" s="6" t="s">
        <v>138</v>
      </c>
      <c r="C50" s="7"/>
      <c r="D50" s="7"/>
      <c r="E50" s="7"/>
      <c r="F50" s="7"/>
      <c r="G50" s="7"/>
      <c r="H50" s="7"/>
      <c r="I50" s="7"/>
    </row>
    <row r="51" spans="1:9" ht="75" customHeight="1" x14ac:dyDescent="0.25">
      <c r="A51" s="8" t="s">
        <v>139</v>
      </c>
      <c r="B51" s="9" t="s">
        <v>140</v>
      </c>
      <c r="C51" s="10" t="s">
        <v>49</v>
      </c>
      <c r="D51" s="11"/>
      <c r="E51" s="11"/>
      <c r="F51" s="10"/>
      <c r="G51" s="10"/>
      <c r="H51" s="12" t="str">
        <f t="shared" ref="H51:H60" si="3">IF(AND(F51&lt;&gt;"",G51&lt;&gt;""),IF(LEFT(F51,1)*1&lt;LEFT(G51,1)*1,"GAP","OK"),"")</f>
        <v/>
      </c>
      <c r="I51" s="9"/>
    </row>
    <row r="52" spans="1:9" ht="75" customHeight="1" x14ac:dyDescent="0.25">
      <c r="A52" s="13" t="s">
        <v>141</v>
      </c>
      <c r="B52" s="14" t="s">
        <v>142</v>
      </c>
      <c r="C52" s="10" t="s">
        <v>49</v>
      </c>
      <c r="D52" s="11"/>
      <c r="E52" s="11"/>
      <c r="F52" s="10"/>
      <c r="G52" s="10"/>
      <c r="H52" s="12" t="str">
        <f t="shared" si="3"/>
        <v/>
      </c>
      <c r="I52" s="14"/>
    </row>
    <row r="53" spans="1:9" ht="75" customHeight="1" x14ac:dyDescent="0.25">
      <c r="A53" s="8" t="s">
        <v>143</v>
      </c>
      <c r="B53" s="9" t="s">
        <v>144</v>
      </c>
      <c r="C53" s="10" t="s">
        <v>49</v>
      </c>
      <c r="D53" s="11"/>
      <c r="E53" s="11"/>
      <c r="F53" s="10"/>
      <c r="G53" s="10"/>
      <c r="H53" s="12" t="str">
        <f t="shared" si="3"/>
        <v/>
      </c>
      <c r="I53" s="9"/>
    </row>
    <row r="54" spans="1:9" ht="75" customHeight="1" x14ac:dyDescent="0.25">
      <c r="A54" s="13" t="s">
        <v>145</v>
      </c>
      <c r="B54" s="14" t="s">
        <v>146</v>
      </c>
      <c r="C54" s="10" t="s">
        <v>49</v>
      </c>
      <c r="D54" s="11"/>
      <c r="E54" s="11"/>
      <c r="F54" s="10"/>
      <c r="G54" s="10"/>
      <c r="H54" s="12" t="str">
        <f t="shared" si="3"/>
        <v/>
      </c>
      <c r="I54" s="14"/>
    </row>
    <row r="55" spans="1:9" ht="75" customHeight="1" x14ac:dyDescent="0.25">
      <c r="A55" s="8" t="s">
        <v>147</v>
      </c>
      <c r="B55" s="9" t="s">
        <v>148</v>
      </c>
      <c r="C55" s="10" t="s">
        <v>49</v>
      </c>
      <c r="D55" s="11"/>
      <c r="E55" s="11"/>
      <c r="F55" s="10"/>
      <c r="G55" s="10"/>
      <c r="H55" s="12" t="str">
        <f t="shared" si="3"/>
        <v/>
      </c>
      <c r="I55" s="9"/>
    </row>
    <row r="56" spans="1:9" ht="75" customHeight="1" x14ac:dyDescent="0.25">
      <c r="A56" s="13" t="s">
        <v>149</v>
      </c>
      <c r="B56" s="14" t="s">
        <v>150</v>
      </c>
      <c r="C56" s="10" t="s">
        <v>49</v>
      </c>
      <c r="D56" s="11"/>
      <c r="E56" s="11"/>
      <c r="F56" s="10"/>
      <c r="G56" s="10"/>
      <c r="H56" s="12" t="str">
        <f t="shared" si="3"/>
        <v/>
      </c>
      <c r="I56" s="14"/>
    </row>
    <row r="57" spans="1:9" ht="75" customHeight="1" x14ac:dyDescent="0.25">
      <c r="A57" s="8" t="s">
        <v>151</v>
      </c>
      <c r="B57" s="9" t="s">
        <v>152</v>
      </c>
      <c r="C57" s="10" t="s">
        <v>49</v>
      </c>
      <c r="D57" s="11"/>
      <c r="E57" s="11"/>
      <c r="F57" s="10"/>
      <c r="G57" s="10"/>
      <c r="H57" s="12" t="str">
        <f t="shared" si="3"/>
        <v/>
      </c>
      <c r="I57" s="9"/>
    </row>
    <row r="58" spans="1:9" ht="75" customHeight="1" x14ac:dyDescent="0.25">
      <c r="A58" s="13" t="s">
        <v>153</v>
      </c>
      <c r="B58" s="14" t="s">
        <v>154</v>
      </c>
      <c r="C58" s="10" t="s">
        <v>49</v>
      </c>
      <c r="D58" s="11"/>
      <c r="E58" s="11"/>
      <c r="F58" s="10"/>
      <c r="G58" s="10"/>
      <c r="H58" s="12" t="str">
        <f t="shared" si="3"/>
        <v/>
      </c>
      <c r="I58" s="14"/>
    </row>
    <row r="59" spans="1:9" ht="75" customHeight="1" x14ac:dyDescent="0.25">
      <c r="A59" s="8" t="s">
        <v>155</v>
      </c>
      <c r="B59" s="9" t="s">
        <v>156</v>
      </c>
      <c r="C59" s="10" t="s">
        <v>49</v>
      </c>
      <c r="D59" s="11"/>
      <c r="E59" s="11"/>
      <c r="F59" s="10"/>
      <c r="G59" s="10"/>
      <c r="H59" s="12" t="str">
        <f t="shared" si="3"/>
        <v/>
      </c>
      <c r="I59" s="9"/>
    </row>
    <row r="60" spans="1:9" ht="75" customHeight="1" x14ac:dyDescent="0.25">
      <c r="A60" s="13" t="s">
        <v>157</v>
      </c>
      <c r="B60" s="14" t="s">
        <v>158</v>
      </c>
      <c r="C60" s="10" t="s">
        <v>49</v>
      </c>
      <c r="D60" s="11"/>
      <c r="E60" s="11"/>
      <c r="F60" s="10"/>
      <c r="G60" s="10"/>
      <c r="H60" s="12" t="str">
        <f t="shared" si="3"/>
        <v/>
      </c>
      <c r="I60" s="14"/>
    </row>
    <row r="61" spans="1:9" ht="75" customHeight="1" x14ac:dyDescent="0.25">
      <c r="A61" s="5" t="s">
        <v>159</v>
      </c>
      <c r="B61" s="6" t="s">
        <v>160</v>
      </c>
      <c r="C61" s="7"/>
      <c r="D61" s="7"/>
      <c r="E61" s="7"/>
      <c r="F61" s="7"/>
      <c r="G61" s="7"/>
      <c r="H61" s="7"/>
      <c r="I61" s="7"/>
    </row>
    <row r="62" spans="1:9" ht="75" customHeight="1" x14ac:dyDescent="0.25">
      <c r="A62" s="8" t="s">
        <v>161</v>
      </c>
      <c r="B62" s="9" t="s">
        <v>162</v>
      </c>
      <c r="C62" s="10" t="s">
        <v>49</v>
      </c>
      <c r="D62" s="11"/>
      <c r="E62" s="11"/>
      <c r="F62" s="10"/>
      <c r="G62" s="10"/>
      <c r="H62" s="12" t="str">
        <f>IF(AND(F62&lt;&gt;"",G62&lt;&gt;""),IF(LEFT(F62,1)*1&lt;LEFT(G62,1)*1,"GAP","OK"),"")</f>
        <v/>
      </c>
      <c r="I62" s="9"/>
    </row>
    <row r="63" spans="1:9" ht="75" customHeight="1" x14ac:dyDescent="0.25">
      <c r="A63" s="13" t="s">
        <v>163</v>
      </c>
      <c r="B63" s="14" t="s">
        <v>164</v>
      </c>
      <c r="C63" s="10" t="s">
        <v>49</v>
      </c>
      <c r="D63" s="11"/>
      <c r="E63" s="11"/>
      <c r="F63" s="10"/>
      <c r="G63" s="10"/>
      <c r="H63" s="12" t="str">
        <f>IF(AND(F63&lt;&gt;"",G63&lt;&gt;""),IF(LEFT(F63,1)*1&lt;LEFT(G63,1)*1,"GAP","OK"),"")</f>
        <v/>
      </c>
      <c r="I63" s="14"/>
    </row>
    <row r="64" spans="1:9" ht="75" customHeight="1" x14ac:dyDescent="0.25">
      <c r="A64" s="8" t="s">
        <v>165</v>
      </c>
      <c r="B64" s="9" t="s">
        <v>166</v>
      </c>
      <c r="C64" s="10" t="s">
        <v>49</v>
      </c>
      <c r="D64" s="11"/>
      <c r="E64" s="11"/>
      <c r="F64" s="10"/>
      <c r="G64" s="10"/>
      <c r="H64" s="12" t="str">
        <f>IF(AND(F64&lt;&gt;"",G64&lt;&gt;""),IF(LEFT(F64,1)*1&lt;LEFT(G64,1)*1,"GAP","OK"),"")</f>
        <v/>
      </c>
      <c r="I64" s="9"/>
    </row>
    <row r="65" spans="1:9" ht="75" customHeight="1" x14ac:dyDescent="0.25">
      <c r="A65" s="13" t="s">
        <v>167</v>
      </c>
      <c r="B65" s="14" t="s">
        <v>168</v>
      </c>
      <c r="C65" s="10" t="s">
        <v>49</v>
      </c>
      <c r="D65" s="11"/>
      <c r="E65" s="11"/>
      <c r="F65" s="10"/>
      <c r="G65" s="10"/>
      <c r="H65" s="12" t="str">
        <f>IF(AND(F65&lt;&gt;"",G65&lt;&gt;""),IF(LEFT(F65,1)*1&lt;LEFT(G65,1)*1,"GAP","OK"),"")</f>
        <v/>
      </c>
      <c r="I65" s="14"/>
    </row>
    <row r="66" spans="1:9" ht="75" customHeight="1" x14ac:dyDescent="0.25">
      <c r="A66" s="2" t="s">
        <v>169</v>
      </c>
      <c r="B66" s="3" t="s">
        <v>170</v>
      </c>
      <c r="C66" s="4"/>
      <c r="D66" s="4"/>
      <c r="E66" s="4"/>
      <c r="F66" s="4"/>
      <c r="G66" s="4"/>
      <c r="H66" s="4"/>
      <c r="I66" s="4"/>
    </row>
    <row r="67" spans="1:9" ht="75" customHeight="1" x14ac:dyDescent="0.25">
      <c r="A67" s="5" t="s">
        <v>171</v>
      </c>
      <c r="B67" s="6" t="s">
        <v>172</v>
      </c>
      <c r="C67" s="7"/>
      <c r="D67" s="7"/>
      <c r="E67" s="7"/>
      <c r="F67" s="7"/>
      <c r="G67" s="7"/>
      <c r="H67" s="7"/>
      <c r="I67" s="7"/>
    </row>
    <row r="68" spans="1:9" ht="75" customHeight="1" x14ac:dyDescent="0.25">
      <c r="A68" s="8" t="s">
        <v>173</v>
      </c>
      <c r="B68" s="9" t="s">
        <v>174</v>
      </c>
      <c r="C68" s="10" t="s">
        <v>49</v>
      </c>
      <c r="D68" s="11"/>
      <c r="E68" s="11"/>
      <c r="F68" s="10"/>
      <c r="G68" s="10"/>
      <c r="H68" s="12" t="str">
        <f t="shared" ref="H68:H73" si="4">IF(AND(F68&lt;&gt;"",G68&lt;&gt;""),IF(LEFT(F68,1)*1&lt;LEFT(G68,1)*1,"GAP","OK"),"")</f>
        <v/>
      </c>
      <c r="I68" s="9"/>
    </row>
    <row r="69" spans="1:9" ht="75" customHeight="1" x14ac:dyDescent="0.25">
      <c r="A69" s="13" t="s">
        <v>175</v>
      </c>
      <c r="B69" s="14" t="s">
        <v>176</v>
      </c>
      <c r="C69" s="10" t="s">
        <v>49</v>
      </c>
      <c r="D69" s="11"/>
      <c r="E69" s="11"/>
      <c r="F69" s="10"/>
      <c r="G69" s="10"/>
      <c r="H69" s="12" t="str">
        <f t="shared" si="4"/>
        <v/>
      </c>
      <c r="I69" s="14"/>
    </row>
    <row r="70" spans="1:9" ht="75" customHeight="1" x14ac:dyDescent="0.25">
      <c r="A70" s="8" t="s">
        <v>177</v>
      </c>
      <c r="B70" s="9" t="s">
        <v>178</v>
      </c>
      <c r="C70" s="10" t="s">
        <v>49</v>
      </c>
      <c r="D70" s="11"/>
      <c r="E70" s="11"/>
      <c r="F70" s="10"/>
      <c r="G70" s="10"/>
      <c r="H70" s="12" t="str">
        <f t="shared" si="4"/>
        <v/>
      </c>
      <c r="I70" s="9"/>
    </row>
    <row r="71" spans="1:9" ht="75" customHeight="1" x14ac:dyDescent="0.25">
      <c r="A71" s="13" t="s">
        <v>179</v>
      </c>
      <c r="B71" s="14" t="s">
        <v>180</v>
      </c>
      <c r="C71" s="10" t="s">
        <v>49</v>
      </c>
      <c r="D71" s="11"/>
      <c r="E71" s="11"/>
      <c r="F71" s="10"/>
      <c r="G71" s="10"/>
      <c r="H71" s="12" t="str">
        <f t="shared" si="4"/>
        <v/>
      </c>
      <c r="I71" s="14"/>
    </row>
    <row r="72" spans="1:9" ht="75" customHeight="1" x14ac:dyDescent="0.25">
      <c r="A72" s="8" t="s">
        <v>181</v>
      </c>
      <c r="B72" s="9" t="s">
        <v>182</v>
      </c>
      <c r="C72" s="10" t="s">
        <v>49</v>
      </c>
      <c r="D72" s="11"/>
      <c r="E72" s="11"/>
      <c r="F72" s="10"/>
      <c r="G72" s="10"/>
      <c r="H72" s="12" t="str">
        <f t="shared" si="4"/>
        <v/>
      </c>
      <c r="I72" s="9"/>
    </row>
    <row r="73" spans="1:9" ht="75" customHeight="1" x14ac:dyDescent="0.25">
      <c r="A73" s="13" t="s">
        <v>183</v>
      </c>
      <c r="B73" s="14" t="s">
        <v>184</v>
      </c>
      <c r="C73" s="10" t="s">
        <v>49</v>
      </c>
      <c r="D73" s="11"/>
      <c r="E73" s="11"/>
      <c r="F73" s="10"/>
      <c r="G73" s="10"/>
      <c r="H73" s="12" t="str">
        <f t="shared" si="4"/>
        <v/>
      </c>
      <c r="I73" s="14"/>
    </row>
    <row r="74" spans="1:9" ht="75" customHeight="1" x14ac:dyDescent="0.25">
      <c r="A74" s="5" t="s">
        <v>185</v>
      </c>
      <c r="B74" s="6" t="s">
        <v>186</v>
      </c>
      <c r="C74" s="7"/>
      <c r="D74" s="7"/>
      <c r="E74" s="7"/>
      <c r="F74" s="7"/>
      <c r="G74" s="7"/>
      <c r="H74" s="7"/>
      <c r="I74" s="7"/>
    </row>
    <row r="75" spans="1:9" ht="75" customHeight="1" x14ac:dyDescent="0.25">
      <c r="A75" s="8" t="s">
        <v>187</v>
      </c>
      <c r="B75" s="9" t="s">
        <v>188</v>
      </c>
      <c r="C75" s="10" t="s">
        <v>49</v>
      </c>
      <c r="D75" s="11"/>
      <c r="E75" s="11"/>
      <c r="F75" s="10"/>
      <c r="G75" s="10"/>
      <c r="H75" s="12" t="str">
        <f>IF(AND(F75&lt;&gt;"",G75&lt;&gt;""),IF(LEFT(F75,1)*1&lt;LEFT(G75,1)*1,"GAP","OK"),"")</f>
        <v/>
      </c>
      <c r="I75" s="9"/>
    </row>
    <row r="76" spans="1:9" ht="75" customHeight="1" x14ac:dyDescent="0.25">
      <c r="A76" s="13" t="s">
        <v>189</v>
      </c>
      <c r="B76" s="14" t="s">
        <v>190</v>
      </c>
      <c r="C76" s="10" t="s">
        <v>49</v>
      </c>
      <c r="D76" s="11"/>
      <c r="E76" s="11"/>
      <c r="F76" s="10"/>
      <c r="G76" s="10"/>
      <c r="H76" s="12" t="str">
        <f>IF(AND(F76&lt;&gt;"",G76&lt;&gt;""),IF(LEFT(F76,1)*1&lt;LEFT(G76,1)*1,"GAP","OK"),"")</f>
        <v/>
      </c>
      <c r="I76" s="14"/>
    </row>
    <row r="77" spans="1:9" ht="75" customHeight="1" x14ac:dyDescent="0.25">
      <c r="A77" s="5" t="s">
        <v>191</v>
      </c>
      <c r="B77" s="6" t="s">
        <v>192</v>
      </c>
      <c r="C77" s="7"/>
      <c r="D77" s="7"/>
      <c r="E77" s="7"/>
      <c r="F77" s="7"/>
      <c r="G77" s="7"/>
      <c r="H77" s="7"/>
      <c r="I77" s="7"/>
    </row>
    <row r="78" spans="1:9" ht="75" customHeight="1" x14ac:dyDescent="0.25">
      <c r="A78" s="8" t="s">
        <v>193</v>
      </c>
      <c r="B78" s="9" t="s">
        <v>194</v>
      </c>
      <c r="C78" s="10" t="s">
        <v>49</v>
      </c>
      <c r="D78" s="11"/>
      <c r="E78" s="11"/>
      <c r="F78" s="10"/>
      <c r="G78" s="10"/>
      <c r="H78" s="12" t="str">
        <f>IF(AND(F78&lt;&gt;"",G78&lt;&gt;""),IF(LEFT(F78,1)*1&lt;LEFT(G78,1)*1,"GAP","OK"),"")</f>
        <v/>
      </c>
      <c r="I78" s="9"/>
    </row>
    <row r="79" spans="1:9" ht="75" customHeight="1" x14ac:dyDescent="0.25">
      <c r="A79" s="13" t="s">
        <v>195</v>
      </c>
      <c r="B79" s="14" t="s">
        <v>196</v>
      </c>
      <c r="C79" s="10" t="s">
        <v>49</v>
      </c>
      <c r="D79" s="11"/>
      <c r="E79" s="11"/>
      <c r="F79" s="10"/>
      <c r="G79" s="10"/>
      <c r="H79" s="12" t="str">
        <f>IF(AND(F79&lt;&gt;"",G79&lt;&gt;""),IF(LEFT(F79,1)*1&lt;LEFT(G79,1)*1,"GAP","OK"),"")</f>
        <v/>
      </c>
      <c r="I79" s="14"/>
    </row>
    <row r="80" spans="1:9" ht="75" customHeight="1" x14ac:dyDescent="0.25">
      <c r="A80" s="8" t="s">
        <v>197</v>
      </c>
      <c r="B80" s="9" t="s">
        <v>198</v>
      </c>
      <c r="C80" s="10" t="s">
        <v>49</v>
      </c>
      <c r="D80" s="11"/>
      <c r="E80" s="11"/>
      <c r="F80" s="10"/>
      <c r="G80" s="10"/>
      <c r="H80" s="12" t="str">
        <f>IF(AND(F80&lt;&gt;"",G80&lt;&gt;""),IF(LEFT(F80,1)*1&lt;LEFT(G80,1)*1,"GAP","OK"),"")</f>
        <v/>
      </c>
      <c r="I80" s="9"/>
    </row>
    <row r="81" spans="1:9" ht="75" customHeight="1" x14ac:dyDescent="0.25">
      <c r="A81" s="13" t="s">
        <v>199</v>
      </c>
      <c r="B81" s="14" t="s">
        <v>200</v>
      </c>
      <c r="C81" s="10" t="s">
        <v>49</v>
      </c>
      <c r="D81" s="11"/>
      <c r="E81" s="11"/>
      <c r="F81" s="10"/>
      <c r="G81" s="10"/>
      <c r="H81" s="12" t="str">
        <f>IF(AND(F81&lt;&gt;"",G81&lt;&gt;""),IF(LEFT(F81,1)*1&lt;LEFT(G81,1)*1,"GAP","OK"),"")</f>
        <v/>
      </c>
      <c r="I81" s="14"/>
    </row>
    <row r="82" spans="1:9" ht="75" customHeight="1" x14ac:dyDescent="0.25">
      <c r="A82" s="5" t="s">
        <v>201</v>
      </c>
      <c r="B82" s="6" t="s">
        <v>202</v>
      </c>
      <c r="C82" s="7"/>
      <c r="D82" s="7"/>
      <c r="E82" s="7"/>
      <c r="F82" s="7"/>
      <c r="G82" s="7"/>
      <c r="H82" s="7"/>
      <c r="I82" s="7"/>
    </row>
    <row r="83" spans="1:9" ht="75" customHeight="1" x14ac:dyDescent="0.25">
      <c r="A83" s="8" t="s">
        <v>203</v>
      </c>
      <c r="B83" s="9" t="s">
        <v>204</v>
      </c>
      <c r="C83" s="10" t="s">
        <v>49</v>
      </c>
      <c r="D83" s="11"/>
      <c r="E83" s="11"/>
      <c r="F83" s="10"/>
      <c r="G83" s="10"/>
      <c r="H83" s="12" t="str">
        <f t="shared" ref="H83:H88" si="5">IF(AND(F83&lt;&gt;"",G83&lt;&gt;""),IF(LEFT(F83,1)*1&lt;LEFT(G83,1)*1,"GAP","OK"),"")</f>
        <v/>
      </c>
      <c r="I83" s="9"/>
    </row>
    <row r="84" spans="1:9" ht="75" customHeight="1" x14ac:dyDescent="0.25">
      <c r="A84" s="13" t="s">
        <v>205</v>
      </c>
      <c r="B84" s="14" t="s">
        <v>206</v>
      </c>
      <c r="C84" s="10" t="s">
        <v>49</v>
      </c>
      <c r="D84" s="11"/>
      <c r="E84" s="11"/>
      <c r="F84" s="10"/>
      <c r="G84" s="10"/>
      <c r="H84" s="12" t="str">
        <f t="shared" si="5"/>
        <v/>
      </c>
      <c r="I84" s="14"/>
    </row>
    <row r="85" spans="1:9" ht="75" customHeight="1" x14ac:dyDescent="0.25">
      <c r="A85" s="8" t="s">
        <v>207</v>
      </c>
      <c r="B85" s="9" t="s">
        <v>208</v>
      </c>
      <c r="C85" s="10" t="s">
        <v>49</v>
      </c>
      <c r="D85" s="11"/>
      <c r="E85" s="11"/>
      <c r="F85" s="10"/>
      <c r="G85" s="10"/>
      <c r="H85" s="12" t="str">
        <f t="shared" si="5"/>
        <v/>
      </c>
      <c r="I85" s="9"/>
    </row>
    <row r="86" spans="1:9" ht="75" customHeight="1" x14ac:dyDescent="0.25">
      <c r="A86" s="13" t="s">
        <v>209</v>
      </c>
      <c r="B86" s="14" t="s">
        <v>210</v>
      </c>
      <c r="C86" s="10" t="s">
        <v>49</v>
      </c>
      <c r="D86" s="11"/>
      <c r="E86" s="11"/>
      <c r="F86" s="10"/>
      <c r="G86" s="10"/>
      <c r="H86" s="12" t="str">
        <f t="shared" si="5"/>
        <v/>
      </c>
      <c r="I86" s="14"/>
    </row>
    <row r="87" spans="1:9" ht="75" customHeight="1" x14ac:dyDescent="0.25">
      <c r="A87" s="8" t="s">
        <v>211</v>
      </c>
      <c r="B87" s="9" t="s">
        <v>212</v>
      </c>
      <c r="C87" s="10" t="s">
        <v>49</v>
      </c>
      <c r="D87" s="11"/>
      <c r="E87" s="11"/>
      <c r="F87" s="10"/>
      <c r="G87" s="10"/>
      <c r="H87" s="12" t="str">
        <f t="shared" si="5"/>
        <v/>
      </c>
      <c r="I87" s="9"/>
    </row>
    <row r="88" spans="1:9" ht="75" customHeight="1" x14ac:dyDescent="0.25">
      <c r="A88" s="13" t="s">
        <v>213</v>
      </c>
      <c r="B88" s="14" t="s">
        <v>214</v>
      </c>
      <c r="C88" s="10" t="s">
        <v>49</v>
      </c>
      <c r="D88" s="11"/>
      <c r="E88" s="11"/>
      <c r="F88" s="10"/>
      <c r="G88" s="10"/>
      <c r="H88" s="12" t="str">
        <f t="shared" si="5"/>
        <v/>
      </c>
      <c r="I88" s="14"/>
    </row>
    <row r="89" spans="1:9" ht="75" customHeight="1" x14ac:dyDescent="0.25">
      <c r="A89" s="5" t="s">
        <v>215</v>
      </c>
      <c r="B89" s="6" t="s">
        <v>216</v>
      </c>
      <c r="C89" s="7"/>
      <c r="D89" s="7"/>
      <c r="E89" s="7"/>
      <c r="F89" s="7"/>
      <c r="G89" s="7"/>
      <c r="H89" s="7"/>
      <c r="I89" s="7"/>
    </row>
    <row r="90" spans="1:9" ht="75" customHeight="1" x14ac:dyDescent="0.25">
      <c r="A90" s="8" t="s">
        <v>217</v>
      </c>
      <c r="B90" s="9" t="s">
        <v>218</v>
      </c>
      <c r="C90" s="10" t="s">
        <v>49</v>
      </c>
      <c r="D90" s="11"/>
      <c r="E90" s="11"/>
      <c r="F90" s="10"/>
      <c r="G90" s="10"/>
      <c r="H90" s="12" t="str">
        <f>IF(AND(F90&lt;&gt;"",G90&lt;&gt;""),IF(LEFT(F90,1)*1&lt;LEFT(G90,1)*1,"GAP","OK"),"")</f>
        <v/>
      </c>
      <c r="I90" s="9"/>
    </row>
    <row r="91" spans="1:9" ht="75" customHeight="1" x14ac:dyDescent="0.25">
      <c r="A91" s="13" t="s">
        <v>219</v>
      </c>
      <c r="B91" s="14" t="s">
        <v>220</v>
      </c>
      <c r="C91" s="10" t="s">
        <v>49</v>
      </c>
      <c r="D91" s="11"/>
      <c r="E91" s="11"/>
      <c r="F91" s="10"/>
      <c r="G91" s="10"/>
      <c r="H91" s="12" t="str">
        <f>IF(AND(F91&lt;&gt;"",G91&lt;&gt;""),IF(LEFT(F91,1)*1&lt;LEFT(G91,1)*1,"GAP","OK"),"")</f>
        <v/>
      </c>
      <c r="I91" s="14"/>
    </row>
    <row r="92" spans="1:9" ht="75" customHeight="1" x14ac:dyDescent="0.25">
      <c r="A92" s="8" t="s">
        <v>221</v>
      </c>
      <c r="B92" s="9" t="s">
        <v>222</v>
      </c>
      <c r="C92" s="10" t="s">
        <v>49</v>
      </c>
      <c r="D92" s="11"/>
      <c r="E92" s="11"/>
      <c r="F92" s="10"/>
      <c r="G92" s="10"/>
      <c r="H92" s="12" t="str">
        <f>IF(AND(F92&lt;&gt;"",G92&lt;&gt;""),IF(LEFT(F92,1)*1&lt;LEFT(G92,1)*1,"GAP","OK"),"")</f>
        <v/>
      </c>
      <c r="I92" s="9"/>
    </row>
    <row r="93" spans="1:9" ht="75" customHeight="1" x14ac:dyDescent="0.25">
      <c r="A93" s="13" t="s">
        <v>223</v>
      </c>
      <c r="B93" s="14" t="s">
        <v>224</v>
      </c>
      <c r="C93" s="10" t="s">
        <v>49</v>
      </c>
      <c r="D93" s="11"/>
      <c r="E93" s="11"/>
      <c r="F93" s="10"/>
      <c r="G93" s="10"/>
      <c r="H93" s="12" t="str">
        <f>IF(AND(F93&lt;&gt;"",G93&lt;&gt;""),IF(LEFT(F93,1)*1&lt;LEFT(G93,1)*1,"GAP","OK"),"")</f>
        <v/>
      </c>
      <c r="I93" s="14"/>
    </row>
    <row r="94" spans="1:9" ht="75" customHeight="1" x14ac:dyDescent="0.25">
      <c r="A94" s="2" t="s">
        <v>225</v>
      </c>
      <c r="B94" s="3" t="s">
        <v>226</v>
      </c>
      <c r="C94" s="4"/>
      <c r="D94" s="4"/>
      <c r="E94" s="4"/>
      <c r="F94" s="4"/>
      <c r="G94" s="4"/>
      <c r="H94" s="4"/>
      <c r="I94" s="4"/>
    </row>
    <row r="95" spans="1:9" ht="75" customHeight="1" x14ac:dyDescent="0.25">
      <c r="A95" s="5" t="s">
        <v>227</v>
      </c>
      <c r="B95" s="6" t="s">
        <v>228</v>
      </c>
      <c r="C95" s="7"/>
      <c r="D95" s="7"/>
      <c r="E95" s="7"/>
      <c r="F95" s="7"/>
      <c r="G95" s="7"/>
      <c r="H95" s="7"/>
      <c r="I95" s="7"/>
    </row>
    <row r="96" spans="1:9" ht="75" customHeight="1" x14ac:dyDescent="0.25">
      <c r="A96" s="8" t="s">
        <v>229</v>
      </c>
      <c r="B96" s="9" t="s">
        <v>230</v>
      </c>
      <c r="C96" s="10" t="s">
        <v>49</v>
      </c>
      <c r="D96" s="11"/>
      <c r="E96" s="11"/>
      <c r="F96" s="10"/>
      <c r="G96" s="10"/>
      <c r="H96" s="12" t="str">
        <f>IF(AND(F96&lt;&gt;"",G96&lt;&gt;""),IF(LEFT(F96,1)*1&lt;LEFT(G96,1)*1,"GAP","OK"),"")</f>
        <v/>
      </c>
      <c r="I96" s="9"/>
    </row>
    <row r="97" spans="1:9" ht="75" customHeight="1" x14ac:dyDescent="0.25">
      <c r="A97" s="13" t="s">
        <v>231</v>
      </c>
      <c r="B97" s="14" t="s">
        <v>232</v>
      </c>
      <c r="C97" s="10" t="s">
        <v>49</v>
      </c>
      <c r="D97" s="11"/>
      <c r="E97" s="11"/>
      <c r="F97" s="10"/>
      <c r="G97" s="10"/>
      <c r="H97" s="12" t="str">
        <f>IF(AND(F97&lt;&gt;"",G97&lt;&gt;""),IF(LEFT(F97,1)*1&lt;LEFT(G97,1)*1,"GAP","OK"),"")</f>
        <v/>
      </c>
      <c r="I97" s="14"/>
    </row>
    <row r="98" spans="1:9" ht="75" customHeight="1" x14ac:dyDescent="0.25">
      <c r="A98" s="8" t="s">
        <v>233</v>
      </c>
      <c r="B98" s="9" t="s">
        <v>234</v>
      </c>
      <c r="C98" s="10" t="s">
        <v>49</v>
      </c>
      <c r="D98" s="11"/>
      <c r="E98" s="11"/>
      <c r="F98" s="10"/>
      <c r="G98" s="10"/>
      <c r="H98" s="12" t="str">
        <f>IF(AND(F98&lt;&gt;"",G98&lt;&gt;""),IF(LEFT(F98,1)*1&lt;LEFT(G98,1)*1,"GAP","OK"),"")</f>
        <v/>
      </c>
      <c r="I98" s="9"/>
    </row>
    <row r="99" spans="1:9" ht="75" customHeight="1" x14ac:dyDescent="0.25">
      <c r="A99" s="13" t="s">
        <v>235</v>
      </c>
      <c r="B99" s="14" t="s">
        <v>236</v>
      </c>
      <c r="C99" s="10" t="s">
        <v>49</v>
      </c>
      <c r="D99" s="11"/>
      <c r="E99" s="11"/>
      <c r="F99" s="10"/>
      <c r="G99" s="10"/>
      <c r="H99" s="12" t="str">
        <f>IF(AND(F99&lt;&gt;"",G99&lt;&gt;""),IF(LEFT(F99,1)*1&lt;LEFT(G99,1)*1,"GAP","OK"),"")</f>
        <v/>
      </c>
      <c r="I99" s="14"/>
    </row>
    <row r="100" spans="1:9" ht="75" customHeight="1" x14ac:dyDescent="0.25">
      <c r="A100" s="8" t="s">
        <v>237</v>
      </c>
      <c r="B100" s="9" t="s">
        <v>238</v>
      </c>
      <c r="C100" s="10" t="s">
        <v>49</v>
      </c>
      <c r="D100" s="11"/>
      <c r="E100" s="11"/>
      <c r="F100" s="10"/>
      <c r="G100" s="10"/>
      <c r="H100" s="12" t="str">
        <f>IF(AND(F100&lt;&gt;"",G100&lt;&gt;""),IF(LEFT(F100,1)*1&lt;LEFT(G100,1)*1,"GAP","OK"),"")</f>
        <v/>
      </c>
      <c r="I100" s="9"/>
    </row>
    <row r="101" spans="1:9" ht="75" customHeight="1" x14ac:dyDescent="0.25">
      <c r="A101" s="5" t="s">
        <v>239</v>
      </c>
      <c r="B101" s="6" t="s">
        <v>240</v>
      </c>
      <c r="C101" s="7"/>
      <c r="D101" s="7"/>
      <c r="E101" s="7"/>
      <c r="F101" s="7"/>
      <c r="G101" s="7"/>
      <c r="H101" s="7"/>
      <c r="I101" s="7"/>
    </row>
    <row r="102" spans="1:9" ht="75" customHeight="1" x14ac:dyDescent="0.25">
      <c r="A102" s="8" t="s">
        <v>241</v>
      </c>
      <c r="B102" s="9" t="s">
        <v>242</v>
      </c>
      <c r="C102" s="10" t="s">
        <v>49</v>
      </c>
      <c r="D102" s="11"/>
      <c r="E102" s="11"/>
      <c r="F102" s="10"/>
      <c r="G102" s="10"/>
      <c r="H102" s="12" t="str">
        <f t="shared" ref="H102:H109" si="6">IF(AND(F102&lt;&gt;"",G102&lt;&gt;""),IF(LEFT(F102,1)*1&lt;LEFT(G102,1)*1,"GAP","OK"),"")</f>
        <v/>
      </c>
      <c r="I102" s="9"/>
    </row>
    <row r="103" spans="1:9" ht="75" customHeight="1" x14ac:dyDescent="0.25">
      <c r="A103" s="13" t="s">
        <v>243</v>
      </c>
      <c r="B103" s="14" t="s">
        <v>244</v>
      </c>
      <c r="C103" s="10" t="s">
        <v>49</v>
      </c>
      <c r="D103" s="11"/>
      <c r="E103" s="11"/>
      <c r="F103" s="10"/>
      <c r="G103" s="10"/>
      <c r="H103" s="12" t="str">
        <f t="shared" si="6"/>
        <v/>
      </c>
      <c r="I103" s="14"/>
    </row>
    <row r="104" spans="1:9" ht="75" customHeight="1" x14ac:dyDescent="0.25">
      <c r="A104" s="8" t="s">
        <v>245</v>
      </c>
      <c r="B104" s="9" t="s">
        <v>246</v>
      </c>
      <c r="C104" s="10" t="s">
        <v>49</v>
      </c>
      <c r="D104" s="11"/>
      <c r="E104" s="11"/>
      <c r="F104" s="10"/>
      <c r="G104" s="10"/>
      <c r="H104" s="12" t="str">
        <f t="shared" si="6"/>
        <v/>
      </c>
      <c r="I104" s="9"/>
    </row>
    <row r="105" spans="1:9" ht="75" customHeight="1" x14ac:dyDescent="0.25">
      <c r="A105" s="13" t="s">
        <v>247</v>
      </c>
      <c r="B105" s="14" t="s">
        <v>248</v>
      </c>
      <c r="C105" s="10" t="s">
        <v>49</v>
      </c>
      <c r="D105" s="11"/>
      <c r="E105" s="11"/>
      <c r="F105" s="10"/>
      <c r="G105" s="10"/>
      <c r="H105" s="12" t="str">
        <f t="shared" si="6"/>
        <v/>
      </c>
      <c r="I105" s="14"/>
    </row>
    <row r="106" spans="1:9" ht="75" customHeight="1" x14ac:dyDescent="0.25">
      <c r="A106" s="8" t="s">
        <v>249</v>
      </c>
      <c r="B106" s="9" t="s">
        <v>250</v>
      </c>
      <c r="C106" s="10" t="s">
        <v>49</v>
      </c>
      <c r="D106" s="11"/>
      <c r="E106" s="11"/>
      <c r="F106" s="10"/>
      <c r="G106" s="10"/>
      <c r="H106" s="12" t="str">
        <f t="shared" si="6"/>
        <v/>
      </c>
      <c r="I106" s="9"/>
    </row>
    <row r="107" spans="1:9" ht="75" customHeight="1" x14ac:dyDescent="0.25">
      <c r="A107" s="13" t="s">
        <v>251</v>
      </c>
      <c r="B107" s="14" t="s">
        <v>252</v>
      </c>
      <c r="C107" s="10" t="s">
        <v>49</v>
      </c>
      <c r="D107" s="11"/>
      <c r="E107" s="11"/>
      <c r="F107" s="10"/>
      <c r="G107" s="10"/>
      <c r="H107" s="12" t="str">
        <f t="shared" si="6"/>
        <v/>
      </c>
      <c r="I107" s="14"/>
    </row>
    <row r="108" spans="1:9" ht="75" customHeight="1" x14ac:dyDescent="0.25">
      <c r="A108" s="8" t="s">
        <v>253</v>
      </c>
      <c r="B108" s="9" t="s">
        <v>250</v>
      </c>
      <c r="C108" s="10" t="s">
        <v>49</v>
      </c>
      <c r="D108" s="11"/>
      <c r="E108" s="11"/>
      <c r="F108" s="10"/>
      <c r="G108" s="10"/>
      <c r="H108" s="12" t="str">
        <f t="shared" si="6"/>
        <v/>
      </c>
      <c r="I108" s="9"/>
    </row>
    <row r="109" spans="1:9" ht="75" customHeight="1" x14ac:dyDescent="0.25">
      <c r="A109" s="13" t="s">
        <v>254</v>
      </c>
      <c r="B109" s="14" t="s">
        <v>255</v>
      </c>
      <c r="C109" s="10" t="s">
        <v>49</v>
      </c>
      <c r="D109" s="11"/>
      <c r="E109" s="11"/>
      <c r="F109" s="10"/>
      <c r="G109" s="10"/>
      <c r="H109" s="12" t="str">
        <f t="shared" si="6"/>
        <v/>
      </c>
      <c r="I109" s="14"/>
    </row>
    <row r="110" spans="1:9" ht="75" customHeight="1" x14ac:dyDescent="0.25">
      <c r="A110" s="2" t="s">
        <v>256</v>
      </c>
      <c r="B110" s="3" t="s">
        <v>257</v>
      </c>
      <c r="C110" s="4"/>
      <c r="D110" s="4"/>
      <c r="E110" s="4"/>
      <c r="F110" s="4"/>
      <c r="G110" s="4"/>
      <c r="H110" s="4"/>
      <c r="I110" s="4"/>
    </row>
    <row r="111" spans="1:9" ht="75" customHeight="1" x14ac:dyDescent="0.25">
      <c r="A111" s="5" t="s">
        <v>258</v>
      </c>
      <c r="B111" s="6" t="s">
        <v>259</v>
      </c>
      <c r="C111" s="7"/>
      <c r="D111" s="7"/>
      <c r="E111" s="7"/>
      <c r="F111" s="7"/>
      <c r="G111" s="7"/>
      <c r="H111" s="7"/>
      <c r="I111" s="7"/>
    </row>
    <row r="112" spans="1:9" ht="75" customHeight="1" x14ac:dyDescent="0.25">
      <c r="A112" s="8" t="s">
        <v>260</v>
      </c>
      <c r="B112" s="9" t="s">
        <v>261</v>
      </c>
      <c r="C112" s="10" t="s">
        <v>49</v>
      </c>
      <c r="D112" s="11"/>
      <c r="E112" s="11"/>
      <c r="F112" s="10"/>
      <c r="G112" s="10"/>
      <c r="H112" s="12" t="str">
        <f>IF(AND(F112&lt;&gt;"",G112&lt;&gt;""),IF(LEFT(F112,1)*1&lt;LEFT(G112,1)*1,"GAP","OK"),"")</f>
        <v/>
      </c>
      <c r="I112" s="9"/>
    </row>
    <row r="113" spans="1:9" ht="75" customHeight="1" x14ac:dyDescent="0.25">
      <c r="A113" s="13" t="s">
        <v>262</v>
      </c>
      <c r="B113" s="14" t="s">
        <v>263</v>
      </c>
      <c r="C113" s="10" t="s">
        <v>49</v>
      </c>
      <c r="D113" s="11"/>
      <c r="E113" s="11"/>
      <c r="F113" s="10"/>
      <c r="G113" s="10"/>
      <c r="H113" s="12" t="str">
        <f>IF(AND(F113&lt;&gt;"",G113&lt;&gt;""),IF(LEFT(F113,1)*1&lt;LEFT(G113,1)*1,"GAP","OK"),"")</f>
        <v/>
      </c>
      <c r="I113" s="14"/>
    </row>
    <row r="114" spans="1:9" ht="75" customHeight="1" x14ac:dyDescent="0.25">
      <c r="A114" s="8" t="s">
        <v>264</v>
      </c>
      <c r="B114" s="9" t="s">
        <v>265</v>
      </c>
      <c r="C114" s="10" t="s">
        <v>49</v>
      </c>
      <c r="D114" s="11"/>
      <c r="E114" s="11"/>
      <c r="F114" s="10"/>
      <c r="G114" s="10"/>
      <c r="H114" s="12" t="str">
        <f>IF(AND(F114&lt;&gt;"",G114&lt;&gt;""),IF(LEFT(F114,1)*1&lt;LEFT(G114,1)*1,"GAP","OK"),"")</f>
        <v/>
      </c>
      <c r="I114" s="9"/>
    </row>
    <row r="115" spans="1:9" ht="75" customHeight="1" x14ac:dyDescent="0.25">
      <c r="A115" s="13" t="s">
        <v>266</v>
      </c>
      <c r="B115" s="14" t="s">
        <v>267</v>
      </c>
      <c r="C115" s="10" t="s">
        <v>49</v>
      </c>
      <c r="D115" s="11"/>
      <c r="E115" s="11"/>
      <c r="F115" s="10"/>
      <c r="G115" s="10"/>
      <c r="H115" s="12" t="str">
        <f>IF(AND(F115&lt;&gt;"",G115&lt;&gt;""),IF(LEFT(F115,1)*1&lt;LEFT(G115,1)*1,"GAP","OK"),"")</f>
        <v/>
      </c>
      <c r="I115" s="14"/>
    </row>
    <row r="116" spans="1:9" ht="75" customHeight="1" x14ac:dyDescent="0.25">
      <c r="A116" s="8" t="s">
        <v>268</v>
      </c>
      <c r="B116" s="9" t="s">
        <v>269</v>
      </c>
      <c r="C116" s="10" t="s">
        <v>49</v>
      </c>
      <c r="D116" s="11"/>
      <c r="E116" s="11"/>
      <c r="F116" s="10"/>
      <c r="G116" s="10"/>
      <c r="H116" s="12" t="str">
        <f>IF(AND(F116&lt;&gt;"",G116&lt;&gt;""),IF(LEFT(F116,1)*1&lt;LEFT(G116,1)*1,"GAP","OK"),"")</f>
        <v/>
      </c>
      <c r="I116" s="9"/>
    </row>
    <row r="117" spans="1:9" ht="75" customHeight="1" x14ac:dyDescent="0.25">
      <c r="A117" s="5" t="s">
        <v>270</v>
      </c>
      <c r="B117" s="6" t="s">
        <v>271</v>
      </c>
      <c r="C117" s="7"/>
      <c r="D117" s="7"/>
      <c r="E117" s="7"/>
      <c r="F117" s="7"/>
      <c r="G117" s="7"/>
      <c r="H117" s="7"/>
      <c r="I117" s="7"/>
    </row>
    <row r="118" spans="1:9" ht="75" customHeight="1" x14ac:dyDescent="0.25">
      <c r="A118" s="8" t="s">
        <v>272</v>
      </c>
      <c r="B118" s="9" t="s">
        <v>273</v>
      </c>
      <c r="C118" s="10" t="s">
        <v>49</v>
      </c>
      <c r="D118" s="11"/>
      <c r="E118" s="11"/>
      <c r="F118" s="10"/>
      <c r="G118" s="10"/>
      <c r="H118" s="12" t="str">
        <f>IF(AND(F118&lt;&gt;"",G118&lt;&gt;""),IF(LEFT(F118,1)*1&lt;LEFT(G118,1)*1,"GAP","OK"),"")</f>
        <v/>
      </c>
      <c r="I118" s="9"/>
    </row>
    <row r="119" spans="1:9" ht="75" customHeight="1" x14ac:dyDescent="0.25">
      <c r="A119" s="13" t="s">
        <v>274</v>
      </c>
      <c r="B119" s="14" t="s">
        <v>275</v>
      </c>
      <c r="C119" s="10" t="s">
        <v>49</v>
      </c>
      <c r="D119" s="11"/>
      <c r="E119" s="11"/>
      <c r="F119" s="10"/>
      <c r="G119" s="10"/>
      <c r="H119" s="12" t="str">
        <f>IF(AND(F119&lt;&gt;"",G119&lt;&gt;""),IF(LEFT(F119,1)*1&lt;LEFT(G119,1)*1,"GAP","OK"),"")</f>
        <v/>
      </c>
      <c r="I119" s="14"/>
    </row>
    <row r="120" spans="1:9" ht="75" customHeight="1" x14ac:dyDescent="0.25">
      <c r="A120" s="8" t="s">
        <v>276</v>
      </c>
      <c r="B120" s="9" t="s">
        <v>277</v>
      </c>
      <c r="C120" s="10" t="s">
        <v>49</v>
      </c>
      <c r="D120" s="11"/>
      <c r="E120" s="11"/>
      <c r="F120" s="10"/>
      <c r="G120" s="10"/>
      <c r="H120" s="12" t="str">
        <f>IF(AND(F120&lt;&gt;"",G120&lt;&gt;""),IF(LEFT(F120,1)*1&lt;LEFT(G120,1)*1,"GAP","OK"),"")</f>
        <v/>
      </c>
      <c r="I120" s="9"/>
    </row>
    <row r="121" spans="1:9" ht="75" customHeight="1" x14ac:dyDescent="0.25">
      <c r="A121" s="13" t="s">
        <v>278</v>
      </c>
      <c r="B121" s="14" t="s">
        <v>279</v>
      </c>
      <c r="C121" s="10" t="s">
        <v>49</v>
      </c>
      <c r="D121" s="11"/>
      <c r="E121" s="11"/>
      <c r="F121" s="10"/>
      <c r="G121" s="10"/>
      <c r="H121" s="12" t="str">
        <f>IF(AND(F121&lt;&gt;"",G121&lt;&gt;""),IF(LEFT(F121,1)*1&lt;LEFT(G121,1)*1,"GAP","OK"),"")</f>
        <v/>
      </c>
      <c r="I121" s="14"/>
    </row>
    <row r="122" spans="1:9" ht="75" customHeight="1" x14ac:dyDescent="0.25">
      <c r="A122" s="5" t="s">
        <v>280</v>
      </c>
      <c r="B122" s="6" t="s">
        <v>281</v>
      </c>
      <c r="C122" s="7"/>
      <c r="D122" s="7"/>
      <c r="E122" s="7"/>
      <c r="F122" s="7"/>
      <c r="G122" s="7"/>
      <c r="H122" s="7"/>
      <c r="I122" s="7"/>
    </row>
    <row r="123" spans="1:9" ht="75" customHeight="1" x14ac:dyDescent="0.25">
      <c r="A123" s="8" t="s">
        <v>282</v>
      </c>
      <c r="B123" s="9" t="s">
        <v>283</v>
      </c>
      <c r="C123" s="10" t="s">
        <v>49</v>
      </c>
      <c r="D123" s="11"/>
      <c r="E123" s="11"/>
      <c r="F123" s="10"/>
      <c r="G123" s="10"/>
      <c r="H123" s="12" t="str">
        <f>IF(AND(F123&lt;&gt;"",G123&lt;&gt;""),IF(LEFT(F123,1)*1&lt;LEFT(G123,1)*1,"GAP","OK"),"")</f>
        <v/>
      </c>
      <c r="I123" s="9"/>
    </row>
    <row r="124" spans="1:9" ht="75" customHeight="1" x14ac:dyDescent="0.25">
      <c r="A124" s="13" t="s">
        <v>284</v>
      </c>
      <c r="B124" s="14" t="s">
        <v>285</v>
      </c>
      <c r="C124" s="10" t="s">
        <v>49</v>
      </c>
      <c r="D124" s="11"/>
      <c r="E124" s="11"/>
      <c r="F124" s="10"/>
      <c r="G124" s="10"/>
      <c r="H124" s="12" t="str">
        <f>IF(AND(F124&lt;&gt;"",G124&lt;&gt;""),IF(LEFT(F124,1)*1&lt;LEFT(G124,1)*1,"GAP","OK"),"")</f>
        <v/>
      </c>
      <c r="I124" s="14"/>
    </row>
    <row r="125" spans="1:9" ht="75" customHeight="1" x14ac:dyDescent="0.25">
      <c r="A125" s="5" t="s">
        <v>286</v>
      </c>
      <c r="B125" s="6" t="s">
        <v>287</v>
      </c>
      <c r="C125" s="7"/>
      <c r="D125" s="7"/>
      <c r="E125" s="7"/>
      <c r="F125" s="7"/>
      <c r="G125" s="7"/>
      <c r="H125" s="7"/>
      <c r="I125" s="7"/>
    </row>
    <row r="126" spans="1:9" ht="75" customHeight="1" x14ac:dyDescent="0.25">
      <c r="A126" s="8" t="s">
        <v>288</v>
      </c>
      <c r="B126" s="9" t="s">
        <v>289</v>
      </c>
      <c r="C126" s="10" t="s">
        <v>49</v>
      </c>
      <c r="D126" s="11"/>
      <c r="E126" s="11"/>
      <c r="F126" s="10"/>
      <c r="G126" s="10"/>
      <c r="H126" s="12" t="str">
        <f>IF(AND(F126&lt;&gt;"",G126&lt;&gt;""),IF(LEFT(F126,1)*1&lt;LEFT(G126,1)*1,"GAP","OK"),"")</f>
        <v/>
      </c>
      <c r="I126" s="9"/>
    </row>
    <row r="127" spans="1:9" ht="75" customHeight="1" x14ac:dyDescent="0.25">
      <c r="A127" s="13" t="s">
        <v>290</v>
      </c>
      <c r="B127" s="14" t="s">
        <v>291</v>
      </c>
      <c r="C127" s="10" t="s">
        <v>49</v>
      </c>
      <c r="D127" s="11"/>
      <c r="E127" s="11"/>
      <c r="F127" s="10"/>
      <c r="G127" s="10"/>
      <c r="H127" s="12" t="str">
        <f>IF(AND(F127&lt;&gt;"",G127&lt;&gt;""),IF(LEFT(F127,1)*1&lt;LEFT(G127,1)*1,"GAP","OK"),"")</f>
        <v/>
      </c>
      <c r="I127" s="14"/>
    </row>
    <row r="128" spans="1:9" ht="75" customHeight="1" x14ac:dyDescent="0.25">
      <c r="A128" s="2" t="s">
        <v>292</v>
      </c>
      <c r="B128" s="3" t="s">
        <v>293</v>
      </c>
      <c r="C128" s="4"/>
      <c r="D128" s="4"/>
      <c r="E128" s="4"/>
      <c r="F128" s="4"/>
      <c r="G128" s="4"/>
      <c r="H128" s="4"/>
      <c r="I128" s="4"/>
    </row>
    <row r="129" spans="1:9" ht="75" customHeight="1" x14ac:dyDescent="0.25">
      <c r="A129" s="5" t="s">
        <v>294</v>
      </c>
      <c r="B129" s="6" t="s">
        <v>295</v>
      </c>
      <c r="C129" s="7"/>
      <c r="D129" s="7"/>
      <c r="E129" s="7"/>
      <c r="F129" s="7"/>
      <c r="G129" s="7"/>
      <c r="H129" s="7"/>
      <c r="I129" s="7"/>
    </row>
    <row r="130" spans="1:9" ht="75" customHeight="1" x14ac:dyDescent="0.25">
      <c r="A130" s="8" t="s">
        <v>296</v>
      </c>
      <c r="B130" s="9" t="s">
        <v>297</v>
      </c>
      <c r="C130" s="10" t="s">
        <v>49</v>
      </c>
      <c r="D130" s="11"/>
      <c r="E130" s="11"/>
      <c r="F130" s="10"/>
      <c r="G130" s="10"/>
      <c r="H130" s="12" t="str">
        <f t="shared" ref="H130:H135" si="7">IF(AND(F130&lt;&gt;"",G130&lt;&gt;""),IF(LEFT(F130,1)*1&lt;LEFT(G130,1)*1,"GAP","OK"),"")</f>
        <v/>
      </c>
      <c r="I130" s="9"/>
    </row>
    <row r="131" spans="1:9" ht="75" customHeight="1" x14ac:dyDescent="0.25">
      <c r="A131" s="13" t="s">
        <v>298</v>
      </c>
      <c r="B131" s="14" t="s">
        <v>299</v>
      </c>
      <c r="C131" s="10" t="s">
        <v>49</v>
      </c>
      <c r="D131" s="11"/>
      <c r="E131" s="11"/>
      <c r="F131" s="10"/>
      <c r="G131" s="10"/>
      <c r="H131" s="12" t="str">
        <f t="shared" si="7"/>
        <v/>
      </c>
      <c r="I131" s="14"/>
    </row>
    <row r="132" spans="1:9" ht="75" customHeight="1" x14ac:dyDescent="0.25">
      <c r="A132" s="8" t="s">
        <v>300</v>
      </c>
      <c r="B132" s="9" t="s">
        <v>301</v>
      </c>
      <c r="C132" s="10" t="s">
        <v>49</v>
      </c>
      <c r="D132" s="11"/>
      <c r="E132" s="11"/>
      <c r="F132" s="10"/>
      <c r="G132" s="10"/>
      <c r="H132" s="12" t="str">
        <f t="shared" si="7"/>
        <v/>
      </c>
      <c r="I132" s="9"/>
    </row>
    <row r="133" spans="1:9" ht="75" customHeight="1" x14ac:dyDescent="0.25">
      <c r="A133" s="13" t="s">
        <v>302</v>
      </c>
      <c r="B133" s="14" t="s">
        <v>303</v>
      </c>
      <c r="C133" s="10" t="s">
        <v>49</v>
      </c>
      <c r="D133" s="11"/>
      <c r="E133" s="11"/>
      <c r="F133" s="10"/>
      <c r="G133" s="10"/>
      <c r="H133" s="12" t="str">
        <f t="shared" si="7"/>
        <v/>
      </c>
      <c r="I133" s="14"/>
    </row>
    <row r="134" spans="1:9" ht="75" customHeight="1" x14ac:dyDescent="0.25">
      <c r="A134" s="8" t="s">
        <v>304</v>
      </c>
      <c r="B134" s="9" t="s">
        <v>305</v>
      </c>
      <c r="C134" s="10" t="s">
        <v>49</v>
      </c>
      <c r="D134" s="11"/>
      <c r="E134" s="11"/>
      <c r="F134" s="10"/>
      <c r="G134" s="10"/>
      <c r="H134" s="12" t="str">
        <f t="shared" si="7"/>
        <v/>
      </c>
      <c r="I134" s="9"/>
    </row>
    <row r="135" spans="1:9" ht="75" customHeight="1" x14ac:dyDescent="0.25">
      <c r="A135" s="13" t="s">
        <v>306</v>
      </c>
      <c r="B135" s="14" t="s">
        <v>307</v>
      </c>
      <c r="C135" s="10" t="s">
        <v>49</v>
      </c>
      <c r="D135" s="11"/>
      <c r="E135" s="11"/>
      <c r="F135" s="10"/>
      <c r="G135" s="10"/>
      <c r="H135" s="12" t="str">
        <f t="shared" si="7"/>
        <v/>
      </c>
      <c r="I135" s="14"/>
    </row>
    <row r="136" spans="1:9" ht="75" customHeight="1" x14ac:dyDescent="0.25">
      <c r="A136" s="5" t="s">
        <v>308</v>
      </c>
      <c r="B136" s="6" t="s">
        <v>309</v>
      </c>
      <c r="C136" s="7"/>
      <c r="D136" s="7"/>
      <c r="E136" s="7"/>
      <c r="F136" s="7"/>
      <c r="G136" s="7"/>
      <c r="H136" s="7"/>
      <c r="I136" s="7"/>
    </row>
    <row r="137" spans="1:9" ht="75" customHeight="1" x14ac:dyDescent="0.25">
      <c r="A137" s="8" t="s">
        <v>310</v>
      </c>
      <c r="B137" s="9" t="s">
        <v>311</v>
      </c>
      <c r="C137" s="10" t="s">
        <v>49</v>
      </c>
      <c r="D137" s="11"/>
      <c r="E137" s="11"/>
      <c r="F137" s="10"/>
      <c r="G137" s="10"/>
      <c r="H137" s="12" t="str">
        <f>IF(AND(F137&lt;&gt;"",G137&lt;&gt;""),IF(LEFT(F137,1)*1&lt;LEFT(G137,1)*1,"GAP","OK"),"")</f>
        <v/>
      </c>
      <c r="I137" s="9"/>
    </row>
    <row r="138" spans="1:9" ht="75" customHeight="1" x14ac:dyDescent="0.25">
      <c r="A138" s="13" t="s">
        <v>312</v>
      </c>
      <c r="B138" s="14" t="s">
        <v>313</v>
      </c>
      <c r="C138" s="10" t="s">
        <v>49</v>
      </c>
      <c r="D138" s="11"/>
      <c r="E138" s="11"/>
      <c r="F138" s="10"/>
      <c r="G138" s="10"/>
      <c r="H138" s="12" t="str">
        <f>IF(AND(F138&lt;&gt;"",G138&lt;&gt;""),IF(LEFT(F138,1)*1&lt;LEFT(G138,1)*1,"GAP","OK"),"")</f>
        <v/>
      </c>
      <c r="I138" s="14"/>
    </row>
    <row r="141" spans="1:9" ht="15" customHeight="1" x14ac:dyDescent="0.25">
      <c r="A141" s="15" t="s">
        <v>314</v>
      </c>
    </row>
    <row r="142" spans="1:9" ht="15" customHeight="1" x14ac:dyDescent="0.25">
      <c r="A142" s="16" t="s">
        <v>315</v>
      </c>
      <c r="B142" s="17" t="s">
        <v>316</v>
      </c>
    </row>
    <row r="143" spans="1:9" ht="15" customHeight="1" x14ac:dyDescent="0.25">
      <c r="A143" s="16" t="s">
        <v>317</v>
      </c>
      <c r="B143" s="17" t="s">
        <v>318</v>
      </c>
    </row>
    <row r="144" spans="1:9" ht="15" customHeight="1" x14ac:dyDescent="0.25">
      <c r="A144" s="16" t="s">
        <v>319</v>
      </c>
      <c r="B144" s="17" t="s">
        <v>320</v>
      </c>
    </row>
    <row r="145" spans="1:2" ht="15" customHeight="1" x14ac:dyDescent="0.25">
      <c r="A145" s="16" t="s">
        <v>321</v>
      </c>
      <c r="B145" s="17" t="s">
        <v>322</v>
      </c>
    </row>
    <row r="146" spans="1:2" ht="15" customHeight="1" x14ac:dyDescent="0.25">
      <c r="A146" s="16" t="s">
        <v>323</v>
      </c>
      <c r="B146" s="17" t="s">
        <v>324</v>
      </c>
    </row>
  </sheetData>
  <autoFilter ref="A2:I138" xr:uid="{00000000-0009-0000-0000-000001000000}"/>
  <mergeCells count="1">
    <mergeCell ref="A1:I1"/>
  </mergeCells>
  <dataValidations count="2">
    <dataValidation type="list" allowBlank="1" error="Please select Yes or No" sqref="C5:C9 C11:C17 C19:C22 C24:C25 C27:C29 C31:C40 C43:C49 C51:C60 C62:C65 C68:C73 C75:C76 C78:C81 C83:C88 C90:C93 C96:C100 C102:C109 C112:C116 C118:C121 C123:C124 C126:C127 C130:C135 C137:C138" xr:uid="{00000000-0002-0000-0100-000000000000}">
      <formula1>"Yes,No"</formula1>
      <formula2>0</formula2>
    </dataValidation>
    <dataValidation type="list" allowBlank="1" sqref="F5:G9 F11:G17 F19:G22 F24:G25 F27:G29 F31:G40 F43:G49 F51:G60 F62:G65 F68:G73 F75:G76 F78:G81 F83:G88 F90:G93 F96:G100 F102:G109 F112:G116 F118:G121 F123:G124 F126:G127 F130:G135 F137:G138" xr:uid="{00000000-0002-0000-0100-000001000000}">
      <formula1>"1 - Ad Hoc,2 - Defined,3 - Consistently Implemented,4 - Managed and Measurable,5 - Optimized"</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25"/>
  <sheetViews>
    <sheetView workbookViewId="0">
      <pane ySplit="2" topLeftCell="A3" activePane="bottomLeft" state="frozen"/>
      <selection pane="bottomLeft" activeCell="C5" sqref="C5"/>
    </sheetView>
  </sheetViews>
  <sheetFormatPr defaultRowHeight="15" x14ac:dyDescent="0.25"/>
  <cols>
    <col min="1" max="1" width="10" style="23" customWidth="1"/>
    <col min="2" max="2" width="16" style="23" bestFit="1" customWidth="1"/>
    <col min="3" max="3" width="45" style="23" customWidth="1"/>
    <col min="4" max="4" width="14" style="23" customWidth="1"/>
    <col min="5" max="5" width="25" style="23" customWidth="1"/>
    <col min="6" max="6" width="11" style="23" customWidth="1"/>
    <col min="7" max="7" width="30" style="23" customWidth="1"/>
    <col min="8" max="8" width="10" style="38" customWidth="1"/>
    <col min="9" max="9" width="10" style="34" customWidth="1"/>
    <col min="10" max="11" width="25" style="23" customWidth="1"/>
    <col min="12" max="12" width="40" style="23" customWidth="1"/>
  </cols>
  <sheetData>
    <row r="1" spans="1:12" x14ac:dyDescent="0.25">
      <c r="A1" s="44" t="s">
        <v>325</v>
      </c>
      <c r="B1" s="40"/>
      <c r="C1" s="40"/>
      <c r="D1" s="40"/>
      <c r="E1" s="40"/>
      <c r="F1" s="40"/>
      <c r="G1" s="40"/>
      <c r="H1" s="45"/>
      <c r="I1" s="46"/>
      <c r="J1" s="40"/>
      <c r="K1" s="40"/>
      <c r="L1" s="40"/>
    </row>
    <row r="2" spans="1:12" ht="25.5" customHeight="1" x14ac:dyDescent="0.25">
      <c r="A2" s="18" t="s">
        <v>326</v>
      </c>
      <c r="B2" s="18" t="s">
        <v>327</v>
      </c>
      <c r="C2" s="18" t="s">
        <v>35</v>
      </c>
      <c r="D2" s="18" t="s">
        <v>328</v>
      </c>
      <c r="E2" s="18" t="s">
        <v>329</v>
      </c>
      <c r="F2" s="18" t="s">
        <v>330</v>
      </c>
      <c r="G2" s="18" t="s">
        <v>331</v>
      </c>
      <c r="H2" s="35" t="s">
        <v>332</v>
      </c>
      <c r="I2" s="33" t="s">
        <v>333</v>
      </c>
      <c r="J2" s="18" t="s">
        <v>334</v>
      </c>
      <c r="K2" s="18" t="s">
        <v>335</v>
      </c>
      <c r="L2" s="18" t="s">
        <v>336</v>
      </c>
    </row>
    <row r="3" spans="1:12" ht="27.95" customHeight="1" x14ac:dyDescent="0.25">
      <c r="A3" s="41" t="s">
        <v>337</v>
      </c>
      <c r="B3" s="42"/>
      <c r="C3" s="42"/>
      <c r="D3" s="42"/>
      <c r="E3" s="42"/>
      <c r="F3" s="42"/>
      <c r="G3" s="42"/>
      <c r="H3" s="42"/>
      <c r="I3" s="42"/>
      <c r="J3" s="42"/>
      <c r="K3" s="42"/>
      <c r="L3" s="43"/>
    </row>
    <row r="4" spans="1:12" ht="24" customHeight="1" x14ac:dyDescent="0.25">
      <c r="A4" s="19" t="s">
        <v>338</v>
      </c>
      <c r="B4" s="19" t="s">
        <v>47</v>
      </c>
      <c r="C4" s="19" t="s">
        <v>48</v>
      </c>
      <c r="D4" s="19" t="s">
        <v>339</v>
      </c>
      <c r="E4" s="19" t="s">
        <v>340</v>
      </c>
      <c r="F4" s="19" t="s">
        <v>341</v>
      </c>
      <c r="G4" s="19" t="s">
        <v>342</v>
      </c>
      <c r="H4" s="36" t="s">
        <v>343</v>
      </c>
      <c r="I4" s="21" t="s">
        <v>344</v>
      </c>
      <c r="J4" s="19" t="s">
        <v>345</v>
      </c>
      <c r="K4" s="19" t="s">
        <v>346</v>
      </c>
      <c r="L4" s="19" t="s">
        <v>347</v>
      </c>
    </row>
    <row r="5" spans="1:12" ht="36" customHeight="1" x14ac:dyDescent="0.25">
      <c r="A5" s="22" t="s">
        <v>338</v>
      </c>
      <c r="B5" s="22" t="s">
        <v>50</v>
      </c>
      <c r="C5" s="22" t="s">
        <v>51</v>
      </c>
      <c r="D5" s="22" t="s">
        <v>339</v>
      </c>
      <c r="E5" s="22" t="s">
        <v>340</v>
      </c>
      <c r="F5" s="22" t="s">
        <v>348</v>
      </c>
      <c r="G5" s="22" t="s">
        <v>349</v>
      </c>
      <c r="H5" s="36" t="s">
        <v>343</v>
      </c>
      <c r="I5" s="20" t="s">
        <v>350</v>
      </c>
      <c r="J5" s="22" t="s">
        <v>345</v>
      </c>
      <c r="K5" s="22" t="s">
        <v>346</v>
      </c>
      <c r="L5" s="22" t="s">
        <v>347</v>
      </c>
    </row>
    <row r="6" spans="1:12" ht="36" customHeight="1" x14ac:dyDescent="0.25">
      <c r="A6" s="19" t="s">
        <v>338</v>
      </c>
      <c r="B6" s="19" t="s">
        <v>76</v>
      </c>
      <c r="C6" s="19" t="s">
        <v>77</v>
      </c>
      <c r="D6" s="19" t="s">
        <v>339</v>
      </c>
      <c r="E6" s="19" t="s">
        <v>351</v>
      </c>
      <c r="F6" s="19" t="s">
        <v>352</v>
      </c>
      <c r="G6" s="19" t="s">
        <v>353</v>
      </c>
      <c r="H6" s="36" t="s">
        <v>343</v>
      </c>
      <c r="I6" s="21" t="s">
        <v>344</v>
      </c>
      <c r="J6" s="19" t="s">
        <v>345</v>
      </c>
      <c r="K6" s="19" t="s">
        <v>346</v>
      </c>
      <c r="L6" s="19" t="s">
        <v>347</v>
      </c>
    </row>
    <row r="7" spans="1:12" ht="36" customHeight="1" x14ac:dyDescent="0.25">
      <c r="A7" s="22" t="s">
        <v>338</v>
      </c>
      <c r="B7" s="22" t="s">
        <v>78</v>
      </c>
      <c r="C7" s="22" t="s">
        <v>79</v>
      </c>
      <c r="D7" s="22" t="s">
        <v>339</v>
      </c>
      <c r="E7" s="22" t="s">
        <v>351</v>
      </c>
      <c r="F7" s="22" t="s">
        <v>352</v>
      </c>
      <c r="G7" s="22" t="s">
        <v>353</v>
      </c>
      <c r="H7" s="36" t="s">
        <v>343</v>
      </c>
      <c r="I7" s="21" t="s">
        <v>344</v>
      </c>
      <c r="J7" s="22" t="s">
        <v>345</v>
      </c>
      <c r="K7" s="22" t="s">
        <v>346</v>
      </c>
      <c r="L7" s="22" t="s">
        <v>347</v>
      </c>
    </row>
    <row r="8" spans="1:12" ht="36" customHeight="1" x14ac:dyDescent="0.25">
      <c r="A8" s="19" t="s">
        <v>338</v>
      </c>
      <c r="B8" s="19" t="s">
        <v>80</v>
      </c>
      <c r="C8" s="19" t="s">
        <v>354</v>
      </c>
      <c r="D8" s="19" t="s">
        <v>339</v>
      </c>
      <c r="E8" s="19" t="s">
        <v>351</v>
      </c>
      <c r="F8" s="19" t="s">
        <v>352</v>
      </c>
      <c r="G8" s="19" t="s">
        <v>353</v>
      </c>
      <c r="H8" s="36" t="s">
        <v>343</v>
      </c>
      <c r="I8" s="21" t="s">
        <v>344</v>
      </c>
      <c r="J8" s="19" t="s">
        <v>345</v>
      </c>
      <c r="K8" s="19" t="s">
        <v>346</v>
      </c>
      <c r="L8" s="19" t="s">
        <v>347</v>
      </c>
    </row>
    <row r="9" spans="1:12" ht="24" customHeight="1" x14ac:dyDescent="0.25">
      <c r="A9" s="22" t="s">
        <v>338</v>
      </c>
      <c r="B9" s="22" t="s">
        <v>82</v>
      </c>
      <c r="C9" s="22" t="s">
        <v>83</v>
      </c>
      <c r="D9" s="22" t="s">
        <v>339</v>
      </c>
      <c r="E9" s="22" t="s">
        <v>351</v>
      </c>
      <c r="F9" s="22" t="s">
        <v>355</v>
      </c>
      <c r="G9" s="22" t="s">
        <v>356</v>
      </c>
      <c r="H9" s="37" t="s">
        <v>357</v>
      </c>
      <c r="I9" s="20" t="s">
        <v>350</v>
      </c>
      <c r="J9" s="22" t="s">
        <v>358</v>
      </c>
      <c r="K9" s="22" t="s">
        <v>346</v>
      </c>
      <c r="L9" s="22" t="s">
        <v>347</v>
      </c>
    </row>
    <row r="10" spans="1:12" ht="27.95" customHeight="1" x14ac:dyDescent="0.25">
      <c r="A10" s="41" t="s">
        <v>359</v>
      </c>
      <c r="B10" s="42"/>
      <c r="C10" s="42"/>
      <c r="D10" s="42"/>
      <c r="E10" s="42"/>
      <c r="F10" s="42"/>
      <c r="G10" s="42"/>
      <c r="H10" s="42"/>
      <c r="I10" s="42"/>
      <c r="J10" s="42"/>
      <c r="K10" s="42"/>
      <c r="L10" s="43"/>
    </row>
    <row r="11" spans="1:12" ht="36" customHeight="1" x14ac:dyDescent="0.25">
      <c r="A11" s="19" t="s">
        <v>360</v>
      </c>
      <c r="B11" s="19" t="s">
        <v>52</v>
      </c>
      <c r="C11" s="19" t="s">
        <v>361</v>
      </c>
      <c r="D11" s="19" t="s">
        <v>339</v>
      </c>
      <c r="E11" s="19" t="s">
        <v>340</v>
      </c>
      <c r="F11" s="19" t="s">
        <v>362</v>
      </c>
      <c r="G11" s="19" t="s">
        <v>363</v>
      </c>
      <c r="H11" s="37" t="s">
        <v>357</v>
      </c>
      <c r="I11" s="20" t="s">
        <v>350</v>
      </c>
      <c r="J11" s="19" t="s">
        <v>364</v>
      </c>
      <c r="K11" s="19" t="s">
        <v>346</v>
      </c>
      <c r="L11" s="19" t="s">
        <v>365</v>
      </c>
    </row>
    <row r="12" spans="1:12" ht="36" customHeight="1" x14ac:dyDescent="0.25">
      <c r="A12" s="22" t="s">
        <v>360</v>
      </c>
      <c r="B12" s="22" t="s">
        <v>86</v>
      </c>
      <c r="C12" s="22" t="s">
        <v>87</v>
      </c>
      <c r="D12" s="22" t="s">
        <v>339</v>
      </c>
      <c r="E12" s="22" t="s">
        <v>366</v>
      </c>
      <c r="F12" s="22" t="s">
        <v>367</v>
      </c>
      <c r="G12" s="22" t="s">
        <v>368</v>
      </c>
      <c r="H12" s="36" t="s">
        <v>343</v>
      </c>
      <c r="I12" s="21" t="s">
        <v>344</v>
      </c>
      <c r="J12" s="22" t="s">
        <v>345</v>
      </c>
      <c r="K12" s="22" t="s">
        <v>346</v>
      </c>
      <c r="L12" s="22" t="s">
        <v>365</v>
      </c>
    </row>
    <row r="13" spans="1:12" ht="48" customHeight="1" x14ac:dyDescent="0.25">
      <c r="A13" s="19" t="s">
        <v>360</v>
      </c>
      <c r="B13" s="19" t="s">
        <v>88</v>
      </c>
      <c r="C13" s="19" t="s">
        <v>89</v>
      </c>
      <c r="D13" s="19" t="s">
        <v>339</v>
      </c>
      <c r="E13" s="19" t="s">
        <v>366</v>
      </c>
      <c r="F13" s="19" t="s">
        <v>367</v>
      </c>
      <c r="G13" s="19" t="s">
        <v>368</v>
      </c>
      <c r="H13" s="36" t="s">
        <v>343</v>
      </c>
      <c r="I13" s="20" t="s">
        <v>350</v>
      </c>
      <c r="J13" s="19" t="s">
        <v>345</v>
      </c>
      <c r="K13" s="19" t="s">
        <v>346</v>
      </c>
      <c r="L13" s="19" t="s">
        <v>365</v>
      </c>
    </row>
    <row r="14" spans="1:12" ht="27.95" customHeight="1" x14ac:dyDescent="0.25">
      <c r="A14" s="41" t="s">
        <v>369</v>
      </c>
      <c r="B14" s="42"/>
      <c r="C14" s="42"/>
      <c r="D14" s="42"/>
      <c r="E14" s="42"/>
      <c r="F14" s="42"/>
      <c r="G14" s="42"/>
      <c r="H14" s="42"/>
      <c r="I14" s="42"/>
      <c r="J14" s="42"/>
      <c r="K14" s="42"/>
      <c r="L14" s="43"/>
    </row>
    <row r="15" spans="1:12" ht="36" customHeight="1" x14ac:dyDescent="0.25">
      <c r="A15" s="19" t="s">
        <v>370</v>
      </c>
      <c r="B15" s="19" t="s">
        <v>54</v>
      </c>
      <c r="C15" s="19" t="s">
        <v>55</v>
      </c>
      <c r="D15" s="19" t="s">
        <v>339</v>
      </c>
      <c r="E15" s="19" t="s">
        <v>340</v>
      </c>
      <c r="F15" s="19" t="s">
        <v>371</v>
      </c>
      <c r="G15" s="19" t="s">
        <v>372</v>
      </c>
      <c r="H15" s="37" t="s">
        <v>357</v>
      </c>
      <c r="I15" s="20" t="s">
        <v>350</v>
      </c>
      <c r="J15" s="19" t="s">
        <v>373</v>
      </c>
      <c r="K15" s="19" t="s">
        <v>346</v>
      </c>
      <c r="L15" s="19" t="s">
        <v>374</v>
      </c>
    </row>
    <row r="16" spans="1:12" ht="36" customHeight="1" x14ac:dyDescent="0.25">
      <c r="A16" s="22" t="s">
        <v>370</v>
      </c>
      <c r="B16" s="22" t="s">
        <v>56</v>
      </c>
      <c r="C16" s="22" t="s">
        <v>57</v>
      </c>
      <c r="D16" s="22" t="s">
        <v>339</v>
      </c>
      <c r="E16" s="22" t="s">
        <v>340</v>
      </c>
      <c r="F16" s="22" t="s">
        <v>371</v>
      </c>
      <c r="G16" s="22" t="s">
        <v>372</v>
      </c>
      <c r="H16" s="37" t="s">
        <v>357</v>
      </c>
      <c r="I16" s="20" t="s">
        <v>350</v>
      </c>
      <c r="J16" s="22" t="s">
        <v>373</v>
      </c>
      <c r="K16" s="22" t="s">
        <v>346</v>
      </c>
      <c r="L16" s="22" t="s">
        <v>374</v>
      </c>
    </row>
    <row r="17" spans="1:12" ht="24" customHeight="1" x14ac:dyDescent="0.25">
      <c r="A17" s="19" t="s">
        <v>370</v>
      </c>
      <c r="B17" s="19" t="s">
        <v>92</v>
      </c>
      <c r="C17" s="19" t="s">
        <v>93</v>
      </c>
      <c r="D17" s="19" t="s">
        <v>339</v>
      </c>
      <c r="E17" s="19" t="s">
        <v>375</v>
      </c>
      <c r="F17" s="19" t="s">
        <v>376</v>
      </c>
      <c r="G17" s="19" t="s">
        <v>377</v>
      </c>
      <c r="H17" s="37" t="s">
        <v>357</v>
      </c>
      <c r="I17" s="21" t="s">
        <v>344</v>
      </c>
      <c r="J17" s="19" t="s">
        <v>345</v>
      </c>
      <c r="K17" s="19" t="s">
        <v>346</v>
      </c>
      <c r="L17" s="19" t="s">
        <v>374</v>
      </c>
    </row>
    <row r="18" spans="1:12" ht="36" customHeight="1" x14ac:dyDescent="0.25">
      <c r="A18" s="22" t="s">
        <v>370</v>
      </c>
      <c r="B18" s="22" t="s">
        <v>94</v>
      </c>
      <c r="C18" s="22" t="s">
        <v>95</v>
      </c>
      <c r="D18" s="22" t="s">
        <v>339</v>
      </c>
      <c r="E18" s="22" t="s">
        <v>375</v>
      </c>
      <c r="F18" s="22" t="s">
        <v>378</v>
      </c>
      <c r="G18" s="22" t="s">
        <v>377</v>
      </c>
      <c r="H18" s="36" t="s">
        <v>343</v>
      </c>
      <c r="I18" s="21" t="s">
        <v>344</v>
      </c>
      <c r="J18" s="22" t="s">
        <v>345</v>
      </c>
      <c r="K18" s="22" t="s">
        <v>346</v>
      </c>
      <c r="L18" s="22" t="s">
        <v>374</v>
      </c>
    </row>
    <row r="19" spans="1:12" ht="36" customHeight="1" x14ac:dyDescent="0.25">
      <c r="A19" s="19" t="s">
        <v>370</v>
      </c>
      <c r="B19" s="19" t="s">
        <v>96</v>
      </c>
      <c r="C19" s="19" t="s">
        <v>97</v>
      </c>
      <c r="D19" s="19" t="s">
        <v>339</v>
      </c>
      <c r="E19" s="19" t="s">
        <v>375</v>
      </c>
      <c r="F19" s="19" t="s">
        <v>378</v>
      </c>
      <c r="G19" s="19" t="s">
        <v>377</v>
      </c>
      <c r="H19" s="36" t="s">
        <v>343</v>
      </c>
      <c r="I19" s="21" t="s">
        <v>344</v>
      </c>
      <c r="J19" s="19" t="s">
        <v>345</v>
      </c>
      <c r="K19" s="19" t="s">
        <v>346</v>
      </c>
      <c r="L19" s="19" t="s">
        <v>374</v>
      </c>
    </row>
    <row r="20" spans="1:12" ht="27.95" customHeight="1" x14ac:dyDescent="0.25">
      <c r="A20" s="41" t="s">
        <v>379</v>
      </c>
      <c r="B20" s="42"/>
      <c r="C20" s="42"/>
      <c r="D20" s="42"/>
      <c r="E20" s="42"/>
      <c r="F20" s="42"/>
      <c r="G20" s="42"/>
      <c r="H20" s="42"/>
      <c r="I20" s="42"/>
      <c r="J20" s="42"/>
      <c r="K20" s="42"/>
      <c r="L20" s="43"/>
    </row>
    <row r="21" spans="1:12" ht="36" customHeight="1" x14ac:dyDescent="0.25">
      <c r="A21" s="19" t="s">
        <v>380</v>
      </c>
      <c r="B21" s="19" t="s">
        <v>60</v>
      </c>
      <c r="C21" s="19" t="s">
        <v>381</v>
      </c>
      <c r="D21" s="19" t="s">
        <v>339</v>
      </c>
      <c r="E21" s="19" t="s">
        <v>382</v>
      </c>
      <c r="F21" s="19" t="s">
        <v>383</v>
      </c>
      <c r="G21" s="19" t="s">
        <v>384</v>
      </c>
      <c r="H21" s="36" t="s">
        <v>343</v>
      </c>
      <c r="I21" s="21" t="s">
        <v>344</v>
      </c>
      <c r="J21" s="19" t="s">
        <v>345</v>
      </c>
      <c r="K21" s="19" t="s">
        <v>385</v>
      </c>
      <c r="L21" s="19" t="s">
        <v>386</v>
      </c>
    </row>
    <row r="22" spans="1:12" ht="24" customHeight="1" x14ac:dyDescent="0.25">
      <c r="A22" s="22" t="s">
        <v>380</v>
      </c>
      <c r="B22" s="22" t="s">
        <v>62</v>
      </c>
      <c r="C22" s="22" t="s">
        <v>63</v>
      </c>
      <c r="D22" s="22" t="s">
        <v>339</v>
      </c>
      <c r="E22" s="22" t="s">
        <v>382</v>
      </c>
      <c r="F22" s="22" t="s">
        <v>383</v>
      </c>
      <c r="G22" s="22" t="s">
        <v>384</v>
      </c>
      <c r="H22" s="36" t="s">
        <v>343</v>
      </c>
      <c r="I22" s="21" t="s">
        <v>344</v>
      </c>
      <c r="J22" s="22" t="s">
        <v>345</v>
      </c>
      <c r="K22" s="22" t="s">
        <v>385</v>
      </c>
      <c r="L22" s="22" t="s">
        <v>386</v>
      </c>
    </row>
    <row r="23" spans="1:12" ht="36" customHeight="1" x14ac:dyDescent="0.25">
      <c r="A23" s="19" t="s">
        <v>380</v>
      </c>
      <c r="B23" s="19" t="s">
        <v>64</v>
      </c>
      <c r="C23" s="19" t="s">
        <v>65</v>
      </c>
      <c r="D23" s="19" t="s">
        <v>339</v>
      </c>
      <c r="E23" s="19" t="s">
        <v>382</v>
      </c>
      <c r="F23" s="19" t="s">
        <v>387</v>
      </c>
      <c r="G23" s="19" t="s">
        <v>388</v>
      </c>
      <c r="H23" s="37" t="s">
        <v>357</v>
      </c>
      <c r="I23" s="21" t="s">
        <v>344</v>
      </c>
      <c r="J23" s="19" t="s">
        <v>389</v>
      </c>
      <c r="K23" s="19" t="s">
        <v>385</v>
      </c>
      <c r="L23" s="19" t="s">
        <v>386</v>
      </c>
    </row>
    <row r="24" spans="1:12" ht="24" customHeight="1" x14ac:dyDescent="0.25">
      <c r="A24" s="22" t="s">
        <v>380</v>
      </c>
      <c r="B24" s="22" t="s">
        <v>66</v>
      </c>
      <c r="C24" s="22" t="s">
        <v>67</v>
      </c>
      <c r="D24" s="22" t="s">
        <v>339</v>
      </c>
      <c r="E24" s="22" t="s">
        <v>382</v>
      </c>
      <c r="F24" s="22" t="s">
        <v>383</v>
      </c>
      <c r="G24" s="22" t="s">
        <v>384</v>
      </c>
      <c r="H24" s="36" t="s">
        <v>343</v>
      </c>
      <c r="I24" s="21" t="s">
        <v>344</v>
      </c>
      <c r="J24" s="22" t="s">
        <v>345</v>
      </c>
      <c r="K24" s="22" t="s">
        <v>385</v>
      </c>
      <c r="L24" s="22" t="s">
        <v>386</v>
      </c>
    </row>
    <row r="25" spans="1:12" ht="36" customHeight="1" x14ac:dyDescent="0.25">
      <c r="A25" s="19" t="s">
        <v>380</v>
      </c>
      <c r="B25" s="19" t="s">
        <v>68</v>
      </c>
      <c r="C25" s="19" t="s">
        <v>69</v>
      </c>
      <c r="D25" s="19" t="s">
        <v>339</v>
      </c>
      <c r="E25" s="19" t="s">
        <v>382</v>
      </c>
      <c r="F25" s="19" t="s">
        <v>390</v>
      </c>
      <c r="G25" s="19" t="s">
        <v>391</v>
      </c>
      <c r="H25" s="37" t="s">
        <v>357</v>
      </c>
      <c r="I25" s="20" t="s">
        <v>350</v>
      </c>
      <c r="J25" s="19" t="s">
        <v>392</v>
      </c>
      <c r="K25" s="19" t="s">
        <v>385</v>
      </c>
      <c r="L25" s="19" t="s">
        <v>386</v>
      </c>
    </row>
    <row r="26" spans="1:12" ht="36" customHeight="1" x14ac:dyDescent="0.25">
      <c r="A26" s="22" t="s">
        <v>380</v>
      </c>
      <c r="B26" s="22" t="s">
        <v>70</v>
      </c>
      <c r="C26" s="22" t="s">
        <v>71</v>
      </c>
      <c r="D26" s="22" t="s">
        <v>339</v>
      </c>
      <c r="E26" s="22" t="s">
        <v>382</v>
      </c>
      <c r="F26" s="22" t="s">
        <v>393</v>
      </c>
      <c r="G26" s="22" t="s">
        <v>394</v>
      </c>
      <c r="H26" s="37" t="s">
        <v>357</v>
      </c>
      <c r="I26" s="21" t="s">
        <v>344</v>
      </c>
      <c r="J26" s="22" t="s">
        <v>389</v>
      </c>
      <c r="K26" s="22" t="s">
        <v>385</v>
      </c>
      <c r="L26" s="22" t="s">
        <v>386</v>
      </c>
    </row>
    <row r="27" spans="1:12" ht="36" customHeight="1" x14ac:dyDescent="0.25">
      <c r="A27" s="19" t="s">
        <v>380</v>
      </c>
      <c r="B27" s="19" t="s">
        <v>72</v>
      </c>
      <c r="C27" s="19" t="s">
        <v>73</v>
      </c>
      <c r="D27" s="19" t="s">
        <v>339</v>
      </c>
      <c r="E27" s="19" t="s">
        <v>382</v>
      </c>
      <c r="F27" s="19" t="s">
        <v>383</v>
      </c>
      <c r="G27" s="19" t="s">
        <v>384</v>
      </c>
      <c r="H27" s="36" t="s">
        <v>343</v>
      </c>
      <c r="I27" s="20" t="s">
        <v>350</v>
      </c>
      <c r="J27" s="19" t="s">
        <v>345</v>
      </c>
      <c r="K27" s="19" t="s">
        <v>385</v>
      </c>
      <c r="L27" s="19" t="s">
        <v>386</v>
      </c>
    </row>
    <row r="28" spans="1:12" ht="27.95" customHeight="1" x14ac:dyDescent="0.25">
      <c r="A28" s="41" t="s">
        <v>395</v>
      </c>
      <c r="B28" s="42"/>
      <c r="C28" s="42"/>
      <c r="D28" s="42"/>
      <c r="E28" s="42"/>
      <c r="F28" s="42"/>
      <c r="G28" s="42"/>
      <c r="H28" s="42"/>
      <c r="I28" s="42"/>
      <c r="J28" s="42"/>
      <c r="K28" s="42"/>
      <c r="L28" s="43"/>
    </row>
    <row r="29" spans="1:12" ht="24" customHeight="1" x14ac:dyDescent="0.25">
      <c r="A29" s="19" t="s">
        <v>396</v>
      </c>
      <c r="B29" s="19" t="s">
        <v>139</v>
      </c>
      <c r="C29" s="19" t="s">
        <v>140</v>
      </c>
      <c r="D29" s="19" t="s">
        <v>397</v>
      </c>
      <c r="E29" s="19" t="s">
        <v>398</v>
      </c>
      <c r="F29" s="19" t="s">
        <v>399</v>
      </c>
      <c r="G29" s="19" t="s">
        <v>400</v>
      </c>
      <c r="H29" s="37" t="s">
        <v>357</v>
      </c>
      <c r="I29" s="20" t="s">
        <v>350</v>
      </c>
      <c r="J29" s="19" t="s">
        <v>401</v>
      </c>
      <c r="K29" s="19" t="s">
        <v>385</v>
      </c>
      <c r="L29" s="19" t="s">
        <v>402</v>
      </c>
    </row>
    <row r="30" spans="1:12" ht="24" customHeight="1" x14ac:dyDescent="0.25">
      <c r="A30" s="22" t="s">
        <v>396</v>
      </c>
      <c r="B30" s="22" t="s">
        <v>141</v>
      </c>
      <c r="C30" s="22" t="s">
        <v>142</v>
      </c>
      <c r="D30" s="22" t="s">
        <v>397</v>
      </c>
      <c r="E30" s="22" t="s">
        <v>398</v>
      </c>
      <c r="F30" s="22" t="s">
        <v>403</v>
      </c>
      <c r="G30" s="22" t="s">
        <v>404</v>
      </c>
      <c r="H30" s="37" t="s">
        <v>357</v>
      </c>
      <c r="I30" s="20" t="s">
        <v>350</v>
      </c>
      <c r="J30" s="22" t="s">
        <v>405</v>
      </c>
      <c r="K30" s="22" t="s">
        <v>385</v>
      </c>
      <c r="L30" s="22" t="s">
        <v>402</v>
      </c>
    </row>
    <row r="31" spans="1:12" ht="24" customHeight="1" x14ac:dyDescent="0.25">
      <c r="A31" s="19" t="s">
        <v>396</v>
      </c>
      <c r="B31" s="19" t="s">
        <v>143</v>
      </c>
      <c r="C31" s="19" t="s">
        <v>144</v>
      </c>
      <c r="D31" s="19" t="s">
        <v>397</v>
      </c>
      <c r="E31" s="19" t="s">
        <v>398</v>
      </c>
      <c r="F31" s="19" t="s">
        <v>406</v>
      </c>
      <c r="G31" s="19" t="s">
        <v>407</v>
      </c>
      <c r="H31" s="37" t="s">
        <v>357</v>
      </c>
      <c r="I31" s="21" t="s">
        <v>344</v>
      </c>
      <c r="J31" s="19" t="s">
        <v>408</v>
      </c>
      <c r="K31" s="19" t="s">
        <v>385</v>
      </c>
      <c r="L31" s="19" t="s">
        <v>402</v>
      </c>
    </row>
    <row r="32" spans="1:12" ht="24" customHeight="1" x14ac:dyDescent="0.25">
      <c r="A32" s="22" t="s">
        <v>396</v>
      </c>
      <c r="B32" s="22" t="s">
        <v>145</v>
      </c>
      <c r="C32" s="22" t="s">
        <v>146</v>
      </c>
      <c r="D32" s="22" t="s">
        <v>397</v>
      </c>
      <c r="E32" s="22" t="s">
        <v>398</v>
      </c>
      <c r="F32" s="22" t="s">
        <v>409</v>
      </c>
      <c r="G32" s="22" t="s">
        <v>410</v>
      </c>
      <c r="H32" s="37" t="s">
        <v>357</v>
      </c>
      <c r="I32" s="21" t="s">
        <v>344</v>
      </c>
      <c r="J32" s="22" t="s">
        <v>411</v>
      </c>
      <c r="K32" s="22" t="s">
        <v>385</v>
      </c>
      <c r="L32" s="22" t="s">
        <v>402</v>
      </c>
    </row>
    <row r="33" spans="1:12" ht="36" customHeight="1" x14ac:dyDescent="0.25">
      <c r="A33" s="19" t="s">
        <v>396</v>
      </c>
      <c r="B33" s="19" t="s">
        <v>147</v>
      </c>
      <c r="C33" s="19" t="s">
        <v>412</v>
      </c>
      <c r="D33" s="19" t="s">
        <v>397</v>
      </c>
      <c r="E33" s="19" t="s">
        <v>398</v>
      </c>
      <c r="F33" s="19" t="s">
        <v>413</v>
      </c>
      <c r="G33" s="19" t="s">
        <v>414</v>
      </c>
      <c r="H33" s="37" t="s">
        <v>357</v>
      </c>
      <c r="I33" s="21" t="s">
        <v>344</v>
      </c>
      <c r="J33" s="19" t="s">
        <v>408</v>
      </c>
      <c r="K33" s="19" t="s">
        <v>385</v>
      </c>
      <c r="L33" s="19" t="s">
        <v>402</v>
      </c>
    </row>
    <row r="34" spans="1:12" ht="24" customHeight="1" x14ac:dyDescent="0.25">
      <c r="A34" s="22" t="s">
        <v>396</v>
      </c>
      <c r="B34" s="22" t="s">
        <v>149</v>
      </c>
      <c r="C34" s="22" t="s">
        <v>150</v>
      </c>
      <c r="D34" s="22" t="s">
        <v>397</v>
      </c>
      <c r="E34" s="22" t="s">
        <v>398</v>
      </c>
      <c r="F34" s="22" t="s">
        <v>413</v>
      </c>
      <c r="G34" s="22" t="s">
        <v>414</v>
      </c>
      <c r="H34" s="37" t="s">
        <v>357</v>
      </c>
      <c r="I34" s="21" t="s">
        <v>344</v>
      </c>
      <c r="J34" s="22" t="s">
        <v>408</v>
      </c>
      <c r="K34" s="22" t="s">
        <v>385</v>
      </c>
      <c r="L34" s="22" t="s">
        <v>402</v>
      </c>
    </row>
    <row r="35" spans="1:12" ht="24" customHeight="1" x14ac:dyDescent="0.25">
      <c r="A35" s="19" t="s">
        <v>396</v>
      </c>
      <c r="B35" s="19" t="s">
        <v>151</v>
      </c>
      <c r="C35" s="19" t="s">
        <v>152</v>
      </c>
      <c r="D35" s="19" t="s">
        <v>397</v>
      </c>
      <c r="E35" s="19" t="s">
        <v>398</v>
      </c>
      <c r="F35" s="19" t="s">
        <v>415</v>
      </c>
      <c r="G35" s="19" t="s">
        <v>416</v>
      </c>
      <c r="H35" s="37" t="s">
        <v>357</v>
      </c>
      <c r="I35" s="20" t="s">
        <v>350</v>
      </c>
      <c r="J35" s="19" t="s">
        <v>417</v>
      </c>
      <c r="K35" s="19" t="s">
        <v>385</v>
      </c>
      <c r="L35" s="19" t="s">
        <v>402</v>
      </c>
    </row>
    <row r="36" spans="1:12" ht="24" customHeight="1" x14ac:dyDescent="0.25">
      <c r="A36" s="22" t="s">
        <v>396</v>
      </c>
      <c r="B36" s="22" t="s">
        <v>153</v>
      </c>
      <c r="C36" s="22" t="s">
        <v>154</v>
      </c>
      <c r="D36" s="22" t="s">
        <v>397</v>
      </c>
      <c r="E36" s="22" t="s">
        <v>398</v>
      </c>
      <c r="F36" s="22" t="s">
        <v>418</v>
      </c>
      <c r="G36" s="22" t="s">
        <v>419</v>
      </c>
      <c r="H36" s="37" t="s">
        <v>357</v>
      </c>
      <c r="I36" s="20" t="s">
        <v>350</v>
      </c>
      <c r="J36" s="22" t="s">
        <v>401</v>
      </c>
      <c r="K36" s="22" t="s">
        <v>385</v>
      </c>
      <c r="L36" s="22" t="s">
        <v>402</v>
      </c>
    </row>
    <row r="37" spans="1:12" ht="27.95" customHeight="1" x14ac:dyDescent="0.25">
      <c r="A37" s="41" t="s">
        <v>420</v>
      </c>
      <c r="B37" s="42"/>
      <c r="C37" s="42"/>
      <c r="D37" s="42"/>
      <c r="E37" s="42"/>
      <c r="F37" s="42"/>
      <c r="G37" s="42"/>
      <c r="H37" s="42"/>
      <c r="I37" s="42"/>
      <c r="J37" s="42"/>
      <c r="K37" s="42"/>
      <c r="L37" s="43"/>
    </row>
    <row r="38" spans="1:12" ht="48" customHeight="1" x14ac:dyDescent="0.25">
      <c r="A38" s="19" t="s">
        <v>421</v>
      </c>
      <c r="B38" s="19" t="s">
        <v>100</v>
      </c>
      <c r="C38" s="19" t="s">
        <v>101</v>
      </c>
      <c r="D38" s="19" t="s">
        <v>339</v>
      </c>
      <c r="E38" s="19" t="s">
        <v>422</v>
      </c>
      <c r="F38" s="19" t="s">
        <v>423</v>
      </c>
      <c r="G38" s="19" t="s">
        <v>424</v>
      </c>
      <c r="H38" s="37" t="s">
        <v>357</v>
      </c>
      <c r="I38" s="21" t="s">
        <v>344</v>
      </c>
      <c r="J38" s="19" t="s">
        <v>425</v>
      </c>
      <c r="K38" s="19" t="s">
        <v>426</v>
      </c>
      <c r="L38" s="19" t="s">
        <v>427</v>
      </c>
    </row>
    <row r="39" spans="1:12" ht="48" customHeight="1" x14ac:dyDescent="0.25">
      <c r="A39" s="22" t="s">
        <v>421</v>
      </c>
      <c r="B39" s="22" t="s">
        <v>102</v>
      </c>
      <c r="C39" s="22" t="s">
        <v>103</v>
      </c>
      <c r="D39" s="22" t="s">
        <v>339</v>
      </c>
      <c r="E39" s="22" t="s">
        <v>422</v>
      </c>
      <c r="F39" s="22" t="s">
        <v>423</v>
      </c>
      <c r="G39" s="22" t="s">
        <v>424</v>
      </c>
      <c r="H39" s="37" t="s">
        <v>357</v>
      </c>
      <c r="I39" s="21" t="s">
        <v>344</v>
      </c>
      <c r="J39" s="22" t="s">
        <v>425</v>
      </c>
      <c r="K39" s="22" t="s">
        <v>426</v>
      </c>
      <c r="L39" s="22" t="s">
        <v>427</v>
      </c>
    </row>
    <row r="40" spans="1:12" ht="48" customHeight="1" x14ac:dyDescent="0.25">
      <c r="A40" s="19" t="s">
        <v>421</v>
      </c>
      <c r="B40" s="19" t="s">
        <v>104</v>
      </c>
      <c r="C40" s="19" t="s">
        <v>105</v>
      </c>
      <c r="D40" s="19" t="s">
        <v>339</v>
      </c>
      <c r="E40" s="19" t="s">
        <v>422</v>
      </c>
      <c r="F40" s="19" t="s">
        <v>428</v>
      </c>
      <c r="G40" s="19" t="s">
        <v>429</v>
      </c>
      <c r="H40" s="37" t="s">
        <v>357</v>
      </c>
      <c r="I40" s="21" t="s">
        <v>344</v>
      </c>
      <c r="J40" s="19" t="s">
        <v>430</v>
      </c>
      <c r="K40" s="19" t="s">
        <v>426</v>
      </c>
      <c r="L40" s="19" t="s">
        <v>427</v>
      </c>
    </row>
    <row r="41" spans="1:12" ht="24" customHeight="1" x14ac:dyDescent="0.25">
      <c r="A41" s="22" t="s">
        <v>421</v>
      </c>
      <c r="B41" s="22" t="s">
        <v>106</v>
      </c>
      <c r="C41" s="22" t="s">
        <v>107</v>
      </c>
      <c r="D41" s="22" t="s">
        <v>339</v>
      </c>
      <c r="E41" s="22" t="s">
        <v>422</v>
      </c>
      <c r="F41" s="22" t="s">
        <v>423</v>
      </c>
      <c r="G41" s="22" t="s">
        <v>424</v>
      </c>
      <c r="H41" s="37" t="s">
        <v>357</v>
      </c>
      <c r="I41" s="21" t="s">
        <v>344</v>
      </c>
      <c r="J41" s="22" t="s">
        <v>425</v>
      </c>
      <c r="K41" s="22" t="s">
        <v>426</v>
      </c>
      <c r="L41" s="22" t="s">
        <v>427</v>
      </c>
    </row>
    <row r="42" spans="1:12" ht="48" customHeight="1" x14ac:dyDescent="0.25">
      <c r="A42" s="19" t="s">
        <v>421</v>
      </c>
      <c r="B42" s="19" t="s">
        <v>108</v>
      </c>
      <c r="C42" s="19" t="s">
        <v>431</v>
      </c>
      <c r="D42" s="19" t="s">
        <v>339</v>
      </c>
      <c r="E42" s="19" t="s">
        <v>422</v>
      </c>
      <c r="F42" s="19" t="s">
        <v>423</v>
      </c>
      <c r="G42" s="19" t="s">
        <v>424</v>
      </c>
      <c r="H42" s="37" t="s">
        <v>357</v>
      </c>
      <c r="I42" s="21" t="s">
        <v>344</v>
      </c>
      <c r="J42" s="19" t="s">
        <v>425</v>
      </c>
      <c r="K42" s="19" t="s">
        <v>426</v>
      </c>
      <c r="L42" s="19" t="s">
        <v>427</v>
      </c>
    </row>
    <row r="43" spans="1:12" ht="36" customHeight="1" x14ac:dyDescent="0.25">
      <c r="A43" s="22" t="s">
        <v>421</v>
      </c>
      <c r="B43" s="22" t="s">
        <v>110</v>
      </c>
      <c r="C43" s="22" t="s">
        <v>111</v>
      </c>
      <c r="D43" s="22" t="s">
        <v>339</v>
      </c>
      <c r="E43" s="22" t="s">
        <v>422</v>
      </c>
      <c r="F43" s="22" t="s">
        <v>423</v>
      </c>
      <c r="G43" s="22" t="s">
        <v>424</v>
      </c>
      <c r="H43" s="37" t="s">
        <v>357</v>
      </c>
      <c r="I43" s="21" t="s">
        <v>344</v>
      </c>
      <c r="J43" s="22" t="s">
        <v>425</v>
      </c>
      <c r="K43" s="22" t="s">
        <v>426</v>
      </c>
      <c r="L43" s="22" t="s">
        <v>427</v>
      </c>
    </row>
    <row r="44" spans="1:12" ht="48" customHeight="1" x14ac:dyDescent="0.25">
      <c r="A44" s="19" t="s">
        <v>421</v>
      </c>
      <c r="B44" s="19" t="s">
        <v>112</v>
      </c>
      <c r="C44" s="19" t="s">
        <v>113</v>
      </c>
      <c r="D44" s="19" t="s">
        <v>339</v>
      </c>
      <c r="E44" s="19" t="s">
        <v>422</v>
      </c>
      <c r="F44" s="19" t="s">
        <v>423</v>
      </c>
      <c r="G44" s="19" t="s">
        <v>424</v>
      </c>
      <c r="H44" s="37" t="s">
        <v>357</v>
      </c>
      <c r="I44" s="21" t="s">
        <v>344</v>
      </c>
      <c r="J44" s="19" t="s">
        <v>425</v>
      </c>
      <c r="K44" s="19" t="s">
        <v>426</v>
      </c>
      <c r="L44" s="19" t="s">
        <v>427</v>
      </c>
    </row>
    <row r="45" spans="1:12" ht="36" customHeight="1" x14ac:dyDescent="0.25">
      <c r="A45" s="22" t="s">
        <v>421</v>
      </c>
      <c r="B45" s="22" t="s">
        <v>114</v>
      </c>
      <c r="C45" s="22" t="s">
        <v>115</v>
      </c>
      <c r="D45" s="22" t="s">
        <v>339</v>
      </c>
      <c r="E45" s="22" t="s">
        <v>422</v>
      </c>
      <c r="F45" s="22" t="s">
        <v>432</v>
      </c>
      <c r="G45" s="22" t="s">
        <v>433</v>
      </c>
      <c r="H45" s="37" t="s">
        <v>357</v>
      </c>
      <c r="I45" s="20" t="s">
        <v>350</v>
      </c>
      <c r="J45" s="22" t="s">
        <v>434</v>
      </c>
      <c r="K45" s="22" t="s">
        <v>426</v>
      </c>
      <c r="L45" s="22" t="s">
        <v>427</v>
      </c>
    </row>
    <row r="46" spans="1:12" ht="48" customHeight="1" x14ac:dyDescent="0.25">
      <c r="A46" s="19" t="s">
        <v>421</v>
      </c>
      <c r="B46" s="19" t="s">
        <v>116</v>
      </c>
      <c r="C46" s="19" t="s">
        <v>117</v>
      </c>
      <c r="D46" s="19" t="s">
        <v>339</v>
      </c>
      <c r="E46" s="19" t="s">
        <v>422</v>
      </c>
      <c r="F46" s="19" t="s">
        <v>423</v>
      </c>
      <c r="G46" s="19" t="s">
        <v>424</v>
      </c>
      <c r="H46" s="37" t="s">
        <v>357</v>
      </c>
      <c r="I46" s="21" t="s">
        <v>344</v>
      </c>
      <c r="J46" s="19" t="s">
        <v>425</v>
      </c>
      <c r="K46" s="19" t="s">
        <v>426</v>
      </c>
      <c r="L46" s="19" t="s">
        <v>427</v>
      </c>
    </row>
    <row r="47" spans="1:12" ht="36" customHeight="1" x14ac:dyDescent="0.25">
      <c r="A47" s="22" t="s">
        <v>421</v>
      </c>
      <c r="B47" s="22" t="s">
        <v>118</v>
      </c>
      <c r="C47" s="22" t="s">
        <v>119</v>
      </c>
      <c r="D47" s="22" t="s">
        <v>339</v>
      </c>
      <c r="E47" s="22" t="s">
        <v>422</v>
      </c>
      <c r="F47" s="22" t="s">
        <v>423</v>
      </c>
      <c r="G47" s="22" t="s">
        <v>424</v>
      </c>
      <c r="H47" s="37" t="s">
        <v>357</v>
      </c>
      <c r="I47" s="20" t="s">
        <v>350</v>
      </c>
      <c r="J47" s="22" t="s">
        <v>425</v>
      </c>
      <c r="K47" s="22" t="s">
        <v>426</v>
      </c>
      <c r="L47" s="22" t="s">
        <v>427</v>
      </c>
    </row>
    <row r="48" spans="1:12" ht="24" customHeight="1" x14ac:dyDescent="0.25">
      <c r="A48" s="19" t="s">
        <v>421</v>
      </c>
      <c r="B48" s="19" t="s">
        <v>155</v>
      </c>
      <c r="C48" s="19" t="s">
        <v>156</v>
      </c>
      <c r="D48" s="19" t="s">
        <v>397</v>
      </c>
      <c r="E48" s="19" t="s">
        <v>398</v>
      </c>
      <c r="F48" s="19" t="s">
        <v>435</v>
      </c>
      <c r="G48" s="19" t="s">
        <v>436</v>
      </c>
      <c r="H48" s="37" t="s">
        <v>357</v>
      </c>
      <c r="I48" s="20" t="s">
        <v>350</v>
      </c>
      <c r="J48" s="19" t="s">
        <v>437</v>
      </c>
      <c r="K48" s="19" t="s">
        <v>426</v>
      </c>
      <c r="L48" s="19" t="s">
        <v>427</v>
      </c>
    </row>
    <row r="49" spans="1:12" ht="24" customHeight="1" x14ac:dyDescent="0.25">
      <c r="A49" s="22" t="s">
        <v>421</v>
      </c>
      <c r="B49" s="22" t="s">
        <v>157</v>
      </c>
      <c r="C49" s="22" t="s">
        <v>158</v>
      </c>
      <c r="D49" s="22" t="s">
        <v>397</v>
      </c>
      <c r="E49" s="22" t="s">
        <v>398</v>
      </c>
      <c r="F49" s="22" t="s">
        <v>423</v>
      </c>
      <c r="G49" s="22" t="s">
        <v>424</v>
      </c>
      <c r="H49" s="37" t="s">
        <v>357</v>
      </c>
      <c r="I49" s="20" t="s">
        <v>350</v>
      </c>
      <c r="J49" s="22" t="s">
        <v>425</v>
      </c>
      <c r="K49" s="22" t="s">
        <v>426</v>
      </c>
      <c r="L49" s="22" t="s">
        <v>427</v>
      </c>
    </row>
    <row r="50" spans="1:12" ht="27.95" customHeight="1" x14ac:dyDescent="0.25">
      <c r="A50" s="41" t="s">
        <v>438</v>
      </c>
      <c r="B50" s="42"/>
      <c r="C50" s="42"/>
      <c r="D50" s="42"/>
      <c r="E50" s="42"/>
      <c r="F50" s="42"/>
      <c r="G50" s="42"/>
      <c r="H50" s="42"/>
      <c r="I50" s="42"/>
      <c r="J50" s="42"/>
      <c r="K50" s="42"/>
      <c r="L50" s="43"/>
    </row>
    <row r="51" spans="1:12" ht="24" customHeight="1" x14ac:dyDescent="0.25">
      <c r="A51" s="19" t="s">
        <v>439</v>
      </c>
      <c r="B51" s="19" t="s">
        <v>123</v>
      </c>
      <c r="C51" s="19" t="s">
        <v>124</v>
      </c>
      <c r="D51" s="19" t="s">
        <v>397</v>
      </c>
      <c r="E51" s="19" t="s">
        <v>440</v>
      </c>
      <c r="F51" s="19" t="s">
        <v>441</v>
      </c>
      <c r="G51" s="19" t="s">
        <v>442</v>
      </c>
      <c r="H51" s="37" t="s">
        <v>357</v>
      </c>
      <c r="I51" s="21" t="s">
        <v>344</v>
      </c>
      <c r="J51" s="19" t="s">
        <v>408</v>
      </c>
      <c r="K51" s="19" t="s">
        <v>443</v>
      </c>
      <c r="L51" s="19" t="s">
        <v>444</v>
      </c>
    </row>
    <row r="52" spans="1:12" ht="24" customHeight="1" x14ac:dyDescent="0.25">
      <c r="A52" s="22" t="s">
        <v>439</v>
      </c>
      <c r="B52" s="22" t="s">
        <v>125</v>
      </c>
      <c r="C52" s="22" t="s">
        <v>126</v>
      </c>
      <c r="D52" s="22" t="s">
        <v>397</v>
      </c>
      <c r="E52" s="22" t="s">
        <v>440</v>
      </c>
      <c r="F52" s="22" t="s">
        <v>445</v>
      </c>
      <c r="G52" s="22" t="s">
        <v>446</v>
      </c>
      <c r="H52" s="37" t="s">
        <v>357</v>
      </c>
      <c r="I52" s="21" t="s">
        <v>344</v>
      </c>
      <c r="J52" s="22" t="s">
        <v>408</v>
      </c>
      <c r="K52" s="22" t="s">
        <v>443</v>
      </c>
      <c r="L52" s="22" t="s">
        <v>444</v>
      </c>
    </row>
    <row r="53" spans="1:12" ht="36" customHeight="1" x14ac:dyDescent="0.25">
      <c r="A53" s="19" t="s">
        <v>439</v>
      </c>
      <c r="B53" s="19" t="s">
        <v>127</v>
      </c>
      <c r="C53" s="19" t="s">
        <v>128</v>
      </c>
      <c r="D53" s="19" t="s">
        <v>397</v>
      </c>
      <c r="E53" s="19" t="s">
        <v>440</v>
      </c>
      <c r="F53" s="19" t="s">
        <v>447</v>
      </c>
      <c r="G53" s="19" t="s">
        <v>448</v>
      </c>
      <c r="H53" s="37" t="s">
        <v>357</v>
      </c>
      <c r="I53" s="20" t="s">
        <v>350</v>
      </c>
      <c r="J53" s="19" t="s">
        <v>408</v>
      </c>
      <c r="K53" s="19" t="s">
        <v>443</v>
      </c>
      <c r="L53" s="19" t="s">
        <v>444</v>
      </c>
    </row>
    <row r="54" spans="1:12" ht="24" customHeight="1" x14ac:dyDescent="0.25">
      <c r="A54" s="22" t="s">
        <v>439</v>
      </c>
      <c r="B54" s="22" t="s">
        <v>129</v>
      </c>
      <c r="C54" s="22" t="s">
        <v>130</v>
      </c>
      <c r="D54" s="22" t="s">
        <v>397</v>
      </c>
      <c r="E54" s="22" t="s">
        <v>440</v>
      </c>
      <c r="F54" s="22" t="s">
        <v>449</v>
      </c>
      <c r="G54" s="22" t="s">
        <v>450</v>
      </c>
      <c r="H54" s="37" t="s">
        <v>357</v>
      </c>
      <c r="I54" s="20" t="s">
        <v>350</v>
      </c>
      <c r="J54" s="22" t="s">
        <v>430</v>
      </c>
      <c r="K54" s="22" t="s">
        <v>443</v>
      </c>
      <c r="L54" s="22" t="s">
        <v>444</v>
      </c>
    </row>
    <row r="55" spans="1:12" ht="24" customHeight="1" x14ac:dyDescent="0.25">
      <c r="A55" s="19" t="s">
        <v>439</v>
      </c>
      <c r="B55" s="19" t="s">
        <v>131</v>
      </c>
      <c r="C55" s="19" t="s">
        <v>451</v>
      </c>
      <c r="D55" s="19" t="s">
        <v>397</v>
      </c>
      <c r="E55" s="19" t="s">
        <v>440</v>
      </c>
      <c r="F55" s="19" t="s">
        <v>452</v>
      </c>
      <c r="G55" s="19" t="s">
        <v>453</v>
      </c>
      <c r="H55" s="37" t="s">
        <v>357</v>
      </c>
      <c r="I55" s="20" t="s">
        <v>350</v>
      </c>
      <c r="J55" s="19" t="s">
        <v>454</v>
      </c>
      <c r="K55" s="19" t="s">
        <v>443</v>
      </c>
      <c r="L55" s="19" t="s">
        <v>444</v>
      </c>
    </row>
    <row r="56" spans="1:12" ht="24" customHeight="1" x14ac:dyDescent="0.25">
      <c r="A56" s="22" t="s">
        <v>439</v>
      </c>
      <c r="B56" s="22" t="s">
        <v>133</v>
      </c>
      <c r="C56" s="22" t="s">
        <v>134</v>
      </c>
      <c r="D56" s="22" t="s">
        <v>397</v>
      </c>
      <c r="E56" s="22" t="s">
        <v>440</v>
      </c>
      <c r="F56" s="22" t="s">
        <v>455</v>
      </c>
      <c r="G56" s="22" t="s">
        <v>456</v>
      </c>
      <c r="H56" s="36" t="s">
        <v>343</v>
      </c>
      <c r="I56" s="21" t="s">
        <v>344</v>
      </c>
      <c r="J56" s="22" t="s">
        <v>408</v>
      </c>
      <c r="K56" s="22" t="s">
        <v>443</v>
      </c>
      <c r="L56" s="22" t="s">
        <v>444</v>
      </c>
    </row>
    <row r="57" spans="1:12" ht="24" customHeight="1" x14ac:dyDescent="0.25">
      <c r="A57" s="19" t="s">
        <v>439</v>
      </c>
      <c r="B57" s="19" t="s">
        <v>135</v>
      </c>
      <c r="C57" s="19" t="s">
        <v>136</v>
      </c>
      <c r="D57" s="19" t="s">
        <v>397</v>
      </c>
      <c r="E57" s="19" t="s">
        <v>440</v>
      </c>
      <c r="F57" s="19" t="s">
        <v>457</v>
      </c>
      <c r="G57" s="19" t="s">
        <v>458</v>
      </c>
      <c r="H57" s="37" t="s">
        <v>357</v>
      </c>
      <c r="I57" s="20" t="s">
        <v>350</v>
      </c>
      <c r="J57" s="19" t="s">
        <v>408</v>
      </c>
      <c r="K57" s="19" t="s">
        <v>443</v>
      </c>
      <c r="L57" s="19" t="s">
        <v>444</v>
      </c>
    </row>
    <row r="58" spans="1:12" ht="27.95" customHeight="1" x14ac:dyDescent="0.25">
      <c r="A58" s="41" t="s">
        <v>459</v>
      </c>
      <c r="B58" s="42"/>
      <c r="C58" s="42"/>
      <c r="D58" s="42"/>
      <c r="E58" s="42"/>
      <c r="F58" s="42"/>
      <c r="G58" s="42"/>
      <c r="H58" s="42"/>
      <c r="I58" s="42"/>
      <c r="J58" s="42"/>
      <c r="K58" s="42"/>
      <c r="L58" s="43"/>
    </row>
    <row r="59" spans="1:12" ht="36" customHeight="1" x14ac:dyDescent="0.25">
      <c r="A59" s="19" t="s">
        <v>460</v>
      </c>
      <c r="B59" s="19" t="s">
        <v>173</v>
      </c>
      <c r="C59" s="19" t="s">
        <v>174</v>
      </c>
      <c r="D59" s="19" t="s">
        <v>461</v>
      </c>
      <c r="E59" s="19" t="s">
        <v>462</v>
      </c>
      <c r="F59" s="19" t="s">
        <v>463</v>
      </c>
      <c r="G59" s="19" t="s">
        <v>464</v>
      </c>
      <c r="H59" s="37" t="s">
        <v>357</v>
      </c>
      <c r="I59" s="21" t="s">
        <v>344</v>
      </c>
      <c r="J59" s="19" t="s">
        <v>465</v>
      </c>
      <c r="K59" s="19" t="s">
        <v>466</v>
      </c>
      <c r="L59" s="19" t="s">
        <v>467</v>
      </c>
    </row>
    <row r="60" spans="1:12" ht="24" customHeight="1" x14ac:dyDescent="0.25">
      <c r="A60" s="22" t="s">
        <v>460</v>
      </c>
      <c r="B60" s="22" t="s">
        <v>175</v>
      </c>
      <c r="C60" s="22" t="s">
        <v>176</v>
      </c>
      <c r="D60" s="22" t="s">
        <v>461</v>
      </c>
      <c r="E60" s="22" t="s">
        <v>462</v>
      </c>
      <c r="F60" s="22" t="s">
        <v>468</v>
      </c>
      <c r="G60" s="22" t="s">
        <v>469</v>
      </c>
      <c r="H60" s="37" t="s">
        <v>357</v>
      </c>
      <c r="I60" s="21" t="s">
        <v>344</v>
      </c>
      <c r="J60" s="22" t="s">
        <v>465</v>
      </c>
      <c r="K60" s="22" t="s">
        <v>466</v>
      </c>
      <c r="L60" s="22" t="s">
        <v>467</v>
      </c>
    </row>
    <row r="61" spans="1:12" ht="24" customHeight="1" x14ac:dyDescent="0.25">
      <c r="A61" s="19" t="s">
        <v>460</v>
      </c>
      <c r="B61" s="19" t="s">
        <v>177</v>
      </c>
      <c r="C61" s="19" t="s">
        <v>178</v>
      </c>
      <c r="D61" s="19" t="s">
        <v>461</v>
      </c>
      <c r="E61" s="19" t="s">
        <v>462</v>
      </c>
      <c r="F61" s="19" t="s">
        <v>468</v>
      </c>
      <c r="G61" s="19" t="s">
        <v>469</v>
      </c>
      <c r="H61" s="37" t="s">
        <v>357</v>
      </c>
      <c r="I61" s="21" t="s">
        <v>344</v>
      </c>
      <c r="J61" s="19" t="s">
        <v>465</v>
      </c>
      <c r="K61" s="19" t="s">
        <v>466</v>
      </c>
      <c r="L61" s="19" t="s">
        <v>467</v>
      </c>
    </row>
    <row r="62" spans="1:12" ht="24" customHeight="1" x14ac:dyDescent="0.25">
      <c r="A62" s="22" t="s">
        <v>460</v>
      </c>
      <c r="B62" s="22" t="s">
        <v>179</v>
      </c>
      <c r="C62" s="22" t="s">
        <v>180</v>
      </c>
      <c r="D62" s="22" t="s">
        <v>461</v>
      </c>
      <c r="E62" s="22" t="s">
        <v>462</v>
      </c>
      <c r="F62" s="22" t="s">
        <v>468</v>
      </c>
      <c r="G62" s="22" t="s">
        <v>469</v>
      </c>
      <c r="H62" s="37" t="s">
        <v>357</v>
      </c>
      <c r="I62" s="20" t="s">
        <v>350</v>
      </c>
      <c r="J62" s="22" t="s">
        <v>465</v>
      </c>
      <c r="K62" s="22" t="s">
        <v>466</v>
      </c>
      <c r="L62" s="22" t="s">
        <v>467</v>
      </c>
    </row>
    <row r="63" spans="1:12" ht="48" customHeight="1" x14ac:dyDescent="0.25">
      <c r="A63" s="19" t="s">
        <v>460</v>
      </c>
      <c r="B63" s="19" t="s">
        <v>181</v>
      </c>
      <c r="C63" s="19" t="s">
        <v>182</v>
      </c>
      <c r="D63" s="19" t="s">
        <v>461</v>
      </c>
      <c r="E63" s="19" t="s">
        <v>462</v>
      </c>
      <c r="F63" s="19" t="s">
        <v>470</v>
      </c>
      <c r="G63" s="19" t="s">
        <v>471</v>
      </c>
      <c r="H63" s="37" t="s">
        <v>357</v>
      </c>
      <c r="I63" s="21" t="s">
        <v>344</v>
      </c>
      <c r="J63" s="19" t="s">
        <v>465</v>
      </c>
      <c r="K63" s="19" t="s">
        <v>466</v>
      </c>
      <c r="L63" s="19" t="s">
        <v>467</v>
      </c>
    </row>
    <row r="64" spans="1:12" ht="24" customHeight="1" x14ac:dyDescent="0.25">
      <c r="A64" s="22" t="s">
        <v>460</v>
      </c>
      <c r="B64" s="22" t="s">
        <v>183</v>
      </c>
      <c r="C64" s="22" t="s">
        <v>184</v>
      </c>
      <c r="D64" s="22" t="s">
        <v>461</v>
      </c>
      <c r="E64" s="22" t="s">
        <v>462</v>
      </c>
      <c r="F64" s="22" t="s">
        <v>470</v>
      </c>
      <c r="G64" s="22" t="s">
        <v>471</v>
      </c>
      <c r="H64" s="37" t="s">
        <v>357</v>
      </c>
      <c r="I64" s="20" t="s">
        <v>350</v>
      </c>
      <c r="J64" s="22" t="s">
        <v>465</v>
      </c>
      <c r="K64" s="22" t="s">
        <v>466</v>
      </c>
      <c r="L64" s="22" t="s">
        <v>467</v>
      </c>
    </row>
    <row r="65" spans="1:12" ht="27.95" customHeight="1" x14ac:dyDescent="0.25">
      <c r="A65" s="41" t="s">
        <v>472</v>
      </c>
      <c r="B65" s="42"/>
      <c r="C65" s="42"/>
      <c r="D65" s="42"/>
      <c r="E65" s="42"/>
      <c r="F65" s="42"/>
      <c r="G65" s="42"/>
      <c r="H65" s="42"/>
      <c r="I65" s="42"/>
      <c r="J65" s="42"/>
      <c r="K65" s="42"/>
      <c r="L65" s="43"/>
    </row>
    <row r="66" spans="1:12" ht="24" customHeight="1" x14ac:dyDescent="0.25">
      <c r="A66" s="19" t="s">
        <v>473</v>
      </c>
      <c r="B66" s="19" t="s">
        <v>193</v>
      </c>
      <c r="C66" s="19" t="s">
        <v>194</v>
      </c>
      <c r="D66" s="19" t="s">
        <v>461</v>
      </c>
      <c r="E66" s="19" t="s">
        <v>474</v>
      </c>
      <c r="F66" s="19" t="s">
        <v>475</v>
      </c>
      <c r="G66" s="19" t="s">
        <v>476</v>
      </c>
      <c r="H66" s="37" t="s">
        <v>357</v>
      </c>
      <c r="I66" s="21" t="s">
        <v>344</v>
      </c>
      <c r="J66" s="19" t="s">
        <v>477</v>
      </c>
      <c r="K66" s="19" t="s">
        <v>477</v>
      </c>
      <c r="L66" s="19" t="s">
        <v>478</v>
      </c>
    </row>
    <row r="67" spans="1:12" ht="24" customHeight="1" x14ac:dyDescent="0.25">
      <c r="A67" s="22" t="s">
        <v>473</v>
      </c>
      <c r="B67" s="22" t="s">
        <v>195</v>
      </c>
      <c r="C67" s="22" t="s">
        <v>196</v>
      </c>
      <c r="D67" s="22" t="s">
        <v>461</v>
      </c>
      <c r="E67" s="22" t="s">
        <v>474</v>
      </c>
      <c r="F67" s="22" t="s">
        <v>475</v>
      </c>
      <c r="G67" s="22" t="s">
        <v>476</v>
      </c>
      <c r="H67" s="37" t="s">
        <v>357</v>
      </c>
      <c r="I67" s="21" t="s">
        <v>344</v>
      </c>
      <c r="J67" s="22" t="s">
        <v>477</v>
      </c>
      <c r="K67" s="22" t="s">
        <v>477</v>
      </c>
      <c r="L67" s="22" t="s">
        <v>478</v>
      </c>
    </row>
    <row r="68" spans="1:12" ht="24" customHeight="1" x14ac:dyDescent="0.25">
      <c r="A68" s="19" t="s">
        <v>473</v>
      </c>
      <c r="B68" s="19" t="s">
        <v>197</v>
      </c>
      <c r="C68" s="19" t="s">
        <v>198</v>
      </c>
      <c r="D68" s="19" t="s">
        <v>461</v>
      </c>
      <c r="E68" s="19" t="s">
        <v>474</v>
      </c>
      <c r="F68" s="19" t="s">
        <v>475</v>
      </c>
      <c r="G68" s="19" t="s">
        <v>476</v>
      </c>
      <c r="H68" s="37" t="s">
        <v>357</v>
      </c>
      <c r="I68" s="21" t="s">
        <v>344</v>
      </c>
      <c r="J68" s="19" t="s">
        <v>477</v>
      </c>
      <c r="K68" s="19" t="s">
        <v>477</v>
      </c>
      <c r="L68" s="19" t="s">
        <v>478</v>
      </c>
    </row>
    <row r="69" spans="1:12" ht="24" customHeight="1" x14ac:dyDescent="0.25">
      <c r="A69" s="22" t="s">
        <v>473</v>
      </c>
      <c r="B69" s="22" t="s">
        <v>199</v>
      </c>
      <c r="C69" s="22" t="s">
        <v>200</v>
      </c>
      <c r="D69" s="22" t="s">
        <v>461</v>
      </c>
      <c r="E69" s="22" t="s">
        <v>474</v>
      </c>
      <c r="F69" s="22" t="s">
        <v>479</v>
      </c>
      <c r="G69" s="22" t="s">
        <v>480</v>
      </c>
      <c r="H69" s="37" t="s">
        <v>357</v>
      </c>
      <c r="I69" s="20" t="s">
        <v>350</v>
      </c>
      <c r="J69" s="22" t="s">
        <v>481</v>
      </c>
      <c r="K69" s="22" t="s">
        <v>477</v>
      </c>
      <c r="L69" s="22" t="s">
        <v>478</v>
      </c>
    </row>
    <row r="70" spans="1:12" ht="27.95" customHeight="1" x14ac:dyDescent="0.25">
      <c r="A70" s="41" t="s">
        <v>482</v>
      </c>
      <c r="B70" s="42"/>
      <c r="C70" s="42"/>
      <c r="D70" s="42"/>
      <c r="E70" s="42"/>
      <c r="F70" s="42"/>
      <c r="G70" s="42"/>
      <c r="H70" s="42"/>
      <c r="I70" s="42"/>
      <c r="J70" s="42"/>
      <c r="K70" s="42"/>
      <c r="L70" s="43"/>
    </row>
    <row r="71" spans="1:12" ht="24" customHeight="1" x14ac:dyDescent="0.25">
      <c r="A71" s="19" t="s">
        <v>483</v>
      </c>
      <c r="B71" s="19" t="s">
        <v>217</v>
      </c>
      <c r="C71" s="19" t="s">
        <v>218</v>
      </c>
      <c r="D71" s="19" t="s">
        <v>461</v>
      </c>
      <c r="E71" s="19" t="s">
        <v>484</v>
      </c>
      <c r="F71" s="19" t="s">
        <v>485</v>
      </c>
      <c r="G71" s="19" t="s">
        <v>486</v>
      </c>
      <c r="H71" s="37" t="s">
        <v>357</v>
      </c>
      <c r="I71" s="20" t="s">
        <v>350</v>
      </c>
      <c r="J71" s="19" t="s">
        <v>487</v>
      </c>
      <c r="K71" s="19" t="s">
        <v>488</v>
      </c>
      <c r="L71" s="19" t="s">
        <v>489</v>
      </c>
    </row>
    <row r="72" spans="1:12" ht="24" customHeight="1" x14ac:dyDescent="0.25">
      <c r="A72" s="22" t="s">
        <v>483</v>
      </c>
      <c r="B72" s="22" t="s">
        <v>219</v>
      </c>
      <c r="C72" s="22" t="s">
        <v>490</v>
      </c>
      <c r="D72" s="22" t="s">
        <v>461</v>
      </c>
      <c r="E72" s="22" t="s">
        <v>484</v>
      </c>
      <c r="F72" s="22" t="s">
        <v>491</v>
      </c>
      <c r="G72" s="22" t="s">
        <v>492</v>
      </c>
      <c r="H72" s="37" t="s">
        <v>357</v>
      </c>
      <c r="I72" s="20" t="s">
        <v>350</v>
      </c>
      <c r="J72" s="22" t="s">
        <v>401</v>
      </c>
      <c r="K72" s="22" t="s">
        <v>488</v>
      </c>
      <c r="L72" s="22" t="s">
        <v>489</v>
      </c>
    </row>
    <row r="73" spans="1:12" ht="24" customHeight="1" x14ac:dyDescent="0.25">
      <c r="A73" s="19" t="s">
        <v>483</v>
      </c>
      <c r="B73" s="19" t="s">
        <v>221</v>
      </c>
      <c r="C73" s="19" t="s">
        <v>222</v>
      </c>
      <c r="D73" s="19" t="s">
        <v>461</v>
      </c>
      <c r="E73" s="19" t="s">
        <v>484</v>
      </c>
      <c r="F73" s="19" t="s">
        <v>493</v>
      </c>
      <c r="G73" s="19" t="s">
        <v>494</v>
      </c>
      <c r="H73" s="37" t="s">
        <v>357</v>
      </c>
      <c r="I73" s="21" t="s">
        <v>344</v>
      </c>
      <c r="J73" s="19" t="s">
        <v>495</v>
      </c>
      <c r="K73" s="19" t="s">
        <v>488</v>
      </c>
      <c r="L73" s="19" t="s">
        <v>489</v>
      </c>
    </row>
    <row r="74" spans="1:12" ht="24" customHeight="1" x14ac:dyDescent="0.25">
      <c r="A74" s="22" t="s">
        <v>483</v>
      </c>
      <c r="B74" s="22" t="s">
        <v>223</v>
      </c>
      <c r="C74" s="22" t="s">
        <v>224</v>
      </c>
      <c r="D74" s="22" t="s">
        <v>461</v>
      </c>
      <c r="E74" s="22" t="s">
        <v>484</v>
      </c>
      <c r="F74" s="22" t="s">
        <v>496</v>
      </c>
      <c r="G74" s="22" t="s">
        <v>497</v>
      </c>
      <c r="H74" s="37" t="s">
        <v>357</v>
      </c>
      <c r="I74" s="20" t="s">
        <v>350</v>
      </c>
      <c r="J74" s="22" t="s">
        <v>495</v>
      </c>
      <c r="K74" s="22" t="s">
        <v>488</v>
      </c>
      <c r="L74" s="22" t="s">
        <v>489</v>
      </c>
    </row>
    <row r="75" spans="1:12" ht="24" customHeight="1" x14ac:dyDescent="0.25">
      <c r="A75" s="19" t="s">
        <v>483</v>
      </c>
      <c r="B75" s="19" t="s">
        <v>203</v>
      </c>
      <c r="C75" s="19" t="s">
        <v>204</v>
      </c>
      <c r="D75" s="19" t="s">
        <v>461</v>
      </c>
      <c r="E75" s="19" t="s">
        <v>498</v>
      </c>
      <c r="F75" s="19" t="s">
        <v>491</v>
      </c>
      <c r="G75" s="19" t="s">
        <v>492</v>
      </c>
      <c r="H75" s="37" t="s">
        <v>357</v>
      </c>
      <c r="I75" s="21" t="s">
        <v>344</v>
      </c>
      <c r="J75" s="19" t="s">
        <v>401</v>
      </c>
      <c r="K75" s="19" t="s">
        <v>488</v>
      </c>
      <c r="L75" s="19" t="s">
        <v>489</v>
      </c>
    </row>
    <row r="76" spans="1:12" ht="24" customHeight="1" x14ac:dyDescent="0.25">
      <c r="A76" s="22" t="s">
        <v>483</v>
      </c>
      <c r="B76" s="22" t="s">
        <v>205</v>
      </c>
      <c r="C76" s="22" t="s">
        <v>206</v>
      </c>
      <c r="D76" s="22" t="s">
        <v>461</v>
      </c>
      <c r="E76" s="22" t="s">
        <v>498</v>
      </c>
      <c r="F76" s="22" t="s">
        <v>418</v>
      </c>
      <c r="G76" s="22" t="s">
        <v>419</v>
      </c>
      <c r="H76" s="37" t="s">
        <v>357</v>
      </c>
      <c r="I76" s="21" t="s">
        <v>344</v>
      </c>
      <c r="J76" s="22" t="s">
        <v>401</v>
      </c>
      <c r="K76" s="22" t="s">
        <v>488</v>
      </c>
      <c r="L76" s="22" t="s">
        <v>489</v>
      </c>
    </row>
    <row r="77" spans="1:12" ht="24" customHeight="1" x14ac:dyDescent="0.25">
      <c r="A77" s="19" t="s">
        <v>483</v>
      </c>
      <c r="B77" s="19" t="s">
        <v>207</v>
      </c>
      <c r="C77" s="19" t="s">
        <v>208</v>
      </c>
      <c r="D77" s="19" t="s">
        <v>461</v>
      </c>
      <c r="E77" s="19" t="s">
        <v>498</v>
      </c>
      <c r="F77" s="19" t="s">
        <v>499</v>
      </c>
      <c r="G77" s="19" t="s">
        <v>500</v>
      </c>
      <c r="H77" s="37" t="s">
        <v>357</v>
      </c>
      <c r="I77" s="20" t="s">
        <v>350</v>
      </c>
      <c r="J77" s="19" t="s">
        <v>417</v>
      </c>
      <c r="K77" s="19" t="s">
        <v>488</v>
      </c>
      <c r="L77" s="19" t="s">
        <v>489</v>
      </c>
    </row>
    <row r="78" spans="1:12" ht="24" customHeight="1" x14ac:dyDescent="0.25">
      <c r="A78" s="22" t="s">
        <v>483</v>
      </c>
      <c r="B78" s="22" t="s">
        <v>209</v>
      </c>
      <c r="C78" s="22" t="s">
        <v>210</v>
      </c>
      <c r="D78" s="22" t="s">
        <v>461</v>
      </c>
      <c r="E78" s="22" t="s">
        <v>498</v>
      </c>
      <c r="F78" s="22" t="s">
        <v>501</v>
      </c>
      <c r="G78" s="22" t="s">
        <v>502</v>
      </c>
      <c r="H78" s="37" t="s">
        <v>357</v>
      </c>
      <c r="I78" s="20" t="s">
        <v>350</v>
      </c>
      <c r="J78" s="22" t="s">
        <v>503</v>
      </c>
      <c r="K78" s="22" t="s">
        <v>488</v>
      </c>
      <c r="L78" s="22" t="s">
        <v>489</v>
      </c>
    </row>
    <row r="79" spans="1:12" ht="24" customHeight="1" x14ac:dyDescent="0.25">
      <c r="A79" s="19" t="s">
        <v>483</v>
      </c>
      <c r="B79" s="19" t="s">
        <v>211</v>
      </c>
      <c r="C79" s="19" t="s">
        <v>212</v>
      </c>
      <c r="D79" s="19" t="s">
        <v>461</v>
      </c>
      <c r="E79" s="19" t="s">
        <v>498</v>
      </c>
      <c r="F79" s="19" t="s">
        <v>504</v>
      </c>
      <c r="G79" s="19" t="s">
        <v>505</v>
      </c>
      <c r="H79" s="37" t="s">
        <v>357</v>
      </c>
      <c r="I79" s="20" t="s">
        <v>350</v>
      </c>
      <c r="J79" s="19" t="s">
        <v>417</v>
      </c>
      <c r="K79" s="19" t="s">
        <v>488</v>
      </c>
      <c r="L79" s="19" t="s">
        <v>489</v>
      </c>
    </row>
    <row r="80" spans="1:12" ht="36" customHeight="1" x14ac:dyDescent="0.25">
      <c r="A80" s="22" t="s">
        <v>483</v>
      </c>
      <c r="B80" s="22" t="s">
        <v>213</v>
      </c>
      <c r="C80" s="22" t="s">
        <v>214</v>
      </c>
      <c r="D80" s="22" t="s">
        <v>461</v>
      </c>
      <c r="E80" s="22" t="s">
        <v>498</v>
      </c>
      <c r="F80" s="22" t="s">
        <v>491</v>
      </c>
      <c r="G80" s="22" t="s">
        <v>492</v>
      </c>
      <c r="H80" s="37" t="s">
        <v>357</v>
      </c>
      <c r="I80" s="20" t="s">
        <v>350</v>
      </c>
      <c r="J80" s="22" t="s">
        <v>401</v>
      </c>
      <c r="K80" s="22" t="s">
        <v>488</v>
      </c>
      <c r="L80" s="22" t="s">
        <v>489</v>
      </c>
    </row>
    <row r="81" spans="1:12" ht="27.95" customHeight="1" x14ac:dyDescent="0.25">
      <c r="A81" s="41" t="s">
        <v>506</v>
      </c>
      <c r="B81" s="42"/>
      <c r="C81" s="42"/>
      <c r="D81" s="42"/>
      <c r="E81" s="42"/>
      <c r="F81" s="42"/>
      <c r="G81" s="42"/>
      <c r="H81" s="42"/>
      <c r="I81" s="42"/>
      <c r="J81" s="42"/>
      <c r="K81" s="42"/>
      <c r="L81" s="43"/>
    </row>
    <row r="82" spans="1:12" ht="36" customHeight="1" x14ac:dyDescent="0.25">
      <c r="A82" s="19" t="s">
        <v>507</v>
      </c>
      <c r="B82" s="19" t="s">
        <v>187</v>
      </c>
      <c r="C82" s="19" t="s">
        <v>508</v>
      </c>
      <c r="D82" s="19" t="s">
        <v>461</v>
      </c>
      <c r="E82" s="19" t="s">
        <v>509</v>
      </c>
      <c r="F82" s="19" t="s">
        <v>510</v>
      </c>
      <c r="G82" s="19" t="s">
        <v>511</v>
      </c>
      <c r="H82" s="37" t="s">
        <v>357</v>
      </c>
      <c r="I82" s="21" t="s">
        <v>344</v>
      </c>
      <c r="J82" s="19" t="s">
        <v>512</v>
      </c>
      <c r="K82" s="19" t="s">
        <v>513</v>
      </c>
      <c r="L82" s="19" t="s">
        <v>514</v>
      </c>
    </row>
    <row r="83" spans="1:12" ht="48" customHeight="1" x14ac:dyDescent="0.25">
      <c r="A83" s="22" t="s">
        <v>507</v>
      </c>
      <c r="B83" s="22" t="s">
        <v>189</v>
      </c>
      <c r="C83" s="22" t="s">
        <v>515</v>
      </c>
      <c r="D83" s="22" t="s">
        <v>461</v>
      </c>
      <c r="E83" s="22" t="s">
        <v>509</v>
      </c>
      <c r="F83" s="22" t="s">
        <v>510</v>
      </c>
      <c r="G83" s="22" t="s">
        <v>511</v>
      </c>
      <c r="H83" s="37" t="s">
        <v>357</v>
      </c>
      <c r="I83" s="21" t="s">
        <v>344</v>
      </c>
      <c r="J83" s="22" t="s">
        <v>512</v>
      </c>
      <c r="K83" s="22" t="s">
        <v>513</v>
      </c>
      <c r="L83" s="22" t="s">
        <v>514</v>
      </c>
    </row>
    <row r="84" spans="1:12" ht="27.95" customHeight="1" x14ac:dyDescent="0.25">
      <c r="A84" s="41" t="s">
        <v>516</v>
      </c>
      <c r="B84" s="42"/>
      <c r="C84" s="42"/>
      <c r="D84" s="42"/>
      <c r="E84" s="42"/>
      <c r="F84" s="42"/>
      <c r="G84" s="42"/>
      <c r="H84" s="42"/>
      <c r="I84" s="42"/>
      <c r="J84" s="42"/>
      <c r="K84" s="42"/>
      <c r="L84" s="43"/>
    </row>
    <row r="85" spans="1:12" ht="24" customHeight="1" x14ac:dyDescent="0.25">
      <c r="A85" s="19" t="s">
        <v>517</v>
      </c>
      <c r="B85" s="19" t="s">
        <v>241</v>
      </c>
      <c r="C85" s="19" t="s">
        <v>242</v>
      </c>
      <c r="D85" s="19" t="s">
        <v>518</v>
      </c>
      <c r="E85" s="19" t="s">
        <v>519</v>
      </c>
      <c r="F85" s="19" t="s">
        <v>520</v>
      </c>
      <c r="G85" s="19" t="s">
        <v>521</v>
      </c>
      <c r="H85" s="37" t="s">
        <v>357</v>
      </c>
      <c r="I85" s="21" t="s">
        <v>344</v>
      </c>
      <c r="J85" s="19" t="s">
        <v>522</v>
      </c>
      <c r="K85" s="19" t="s">
        <v>523</v>
      </c>
      <c r="L85" s="19" t="s">
        <v>524</v>
      </c>
    </row>
    <row r="86" spans="1:12" ht="24" customHeight="1" x14ac:dyDescent="0.25">
      <c r="A86" s="22" t="s">
        <v>517</v>
      </c>
      <c r="B86" s="22" t="s">
        <v>243</v>
      </c>
      <c r="C86" s="22" t="s">
        <v>244</v>
      </c>
      <c r="D86" s="22" t="s">
        <v>518</v>
      </c>
      <c r="E86" s="22" t="s">
        <v>519</v>
      </c>
      <c r="F86" s="22" t="s">
        <v>520</v>
      </c>
      <c r="G86" s="22" t="s">
        <v>521</v>
      </c>
      <c r="H86" s="37" t="s">
        <v>357</v>
      </c>
      <c r="I86" s="21" t="s">
        <v>344</v>
      </c>
      <c r="J86" s="22" t="s">
        <v>522</v>
      </c>
      <c r="K86" s="22" t="s">
        <v>523</v>
      </c>
      <c r="L86" s="22" t="s">
        <v>524</v>
      </c>
    </row>
    <row r="87" spans="1:12" ht="24" customHeight="1" x14ac:dyDescent="0.25">
      <c r="A87" s="19" t="s">
        <v>517</v>
      </c>
      <c r="B87" s="19" t="s">
        <v>245</v>
      </c>
      <c r="C87" s="19" t="s">
        <v>246</v>
      </c>
      <c r="D87" s="19" t="s">
        <v>518</v>
      </c>
      <c r="E87" s="19" t="s">
        <v>519</v>
      </c>
      <c r="F87" s="19" t="s">
        <v>520</v>
      </c>
      <c r="G87" s="19" t="s">
        <v>521</v>
      </c>
      <c r="H87" s="37" t="s">
        <v>357</v>
      </c>
      <c r="I87" s="21" t="s">
        <v>344</v>
      </c>
      <c r="J87" s="19" t="s">
        <v>522</v>
      </c>
      <c r="K87" s="19" t="s">
        <v>523</v>
      </c>
      <c r="L87" s="19" t="s">
        <v>524</v>
      </c>
    </row>
    <row r="88" spans="1:12" ht="24" customHeight="1" x14ac:dyDescent="0.25">
      <c r="A88" s="22" t="s">
        <v>517</v>
      </c>
      <c r="B88" s="22" t="s">
        <v>247</v>
      </c>
      <c r="C88" s="22" t="s">
        <v>248</v>
      </c>
      <c r="D88" s="22" t="s">
        <v>518</v>
      </c>
      <c r="E88" s="22" t="s">
        <v>519</v>
      </c>
      <c r="F88" s="22" t="s">
        <v>525</v>
      </c>
      <c r="G88" s="22" t="s">
        <v>526</v>
      </c>
      <c r="H88" s="37" t="s">
        <v>357</v>
      </c>
      <c r="I88" s="20" t="s">
        <v>350</v>
      </c>
      <c r="J88" s="22" t="s">
        <v>527</v>
      </c>
      <c r="K88" s="22" t="s">
        <v>523</v>
      </c>
      <c r="L88" s="22" t="s">
        <v>524</v>
      </c>
    </row>
    <row r="89" spans="1:12" ht="24" customHeight="1" x14ac:dyDescent="0.25">
      <c r="A89" s="19" t="s">
        <v>517</v>
      </c>
      <c r="B89" s="19" t="s">
        <v>249</v>
      </c>
      <c r="C89" s="19" t="s">
        <v>250</v>
      </c>
      <c r="D89" s="19" t="s">
        <v>518</v>
      </c>
      <c r="E89" s="19" t="s">
        <v>519</v>
      </c>
      <c r="F89" s="19" t="s">
        <v>520</v>
      </c>
      <c r="G89" s="19" t="s">
        <v>521</v>
      </c>
      <c r="H89" s="37" t="s">
        <v>357</v>
      </c>
      <c r="I89" s="20" t="s">
        <v>350</v>
      </c>
      <c r="J89" s="19" t="s">
        <v>522</v>
      </c>
      <c r="K89" s="19" t="s">
        <v>523</v>
      </c>
      <c r="L89" s="19" t="s">
        <v>524</v>
      </c>
    </row>
    <row r="90" spans="1:12" ht="24" customHeight="1" x14ac:dyDescent="0.25">
      <c r="A90" s="22" t="s">
        <v>517</v>
      </c>
      <c r="B90" s="22" t="s">
        <v>251</v>
      </c>
      <c r="C90" s="22" t="s">
        <v>252</v>
      </c>
      <c r="D90" s="22" t="s">
        <v>518</v>
      </c>
      <c r="E90" s="22" t="s">
        <v>519</v>
      </c>
      <c r="F90" s="22" t="s">
        <v>520</v>
      </c>
      <c r="G90" s="22" t="s">
        <v>521</v>
      </c>
      <c r="H90" s="37" t="s">
        <v>357</v>
      </c>
      <c r="I90" s="20" t="s">
        <v>350</v>
      </c>
      <c r="J90" s="22" t="s">
        <v>522</v>
      </c>
      <c r="K90" s="22" t="s">
        <v>523</v>
      </c>
      <c r="L90" s="22" t="s">
        <v>524</v>
      </c>
    </row>
    <row r="91" spans="1:12" ht="24" customHeight="1" x14ac:dyDescent="0.25">
      <c r="A91" s="19" t="s">
        <v>517</v>
      </c>
      <c r="B91" s="19" t="s">
        <v>253</v>
      </c>
      <c r="C91" s="19" t="s">
        <v>250</v>
      </c>
      <c r="D91" s="19" t="s">
        <v>518</v>
      </c>
      <c r="E91" s="19" t="s">
        <v>519</v>
      </c>
      <c r="F91" s="19" t="s">
        <v>528</v>
      </c>
      <c r="G91" s="19" t="s">
        <v>529</v>
      </c>
      <c r="H91" s="37" t="s">
        <v>357</v>
      </c>
      <c r="I91" s="20" t="s">
        <v>350</v>
      </c>
      <c r="J91" s="19" t="s">
        <v>503</v>
      </c>
      <c r="K91" s="19" t="s">
        <v>523</v>
      </c>
      <c r="L91" s="19" t="s">
        <v>524</v>
      </c>
    </row>
    <row r="92" spans="1:12" ht="24" customHeight="1" x14ac:dyDescent="0.25">
      <c r="A92" s="22" t="s">
        <v>517</v>
      </c>
      <c r="B92" s="22" t="s">
        <v>254</v>
      </c>
      <c r="C92" s="22" t="s">
        <v>255</v>
      </c>
      <c r="D92" s="22" t="s">
        <v>518</v>
      </c>
      <c r="E92" s="22" t="s">
        <v>519</v>
      </c>
      <c r="F92" s="22" t="s">
        <v>525</v>
      </c>
      <c r="G92" s="22" t="s">
        <v>526</v>
      </c>
      <c r="H92" s="37" t="s">
        <v>357</v>
      </c>
      <c r="I92" s="21" t="s">
        <v>344</v>
      </c>
      <c r="J92" s="22" t="s">
        <v>527</v>
      </c>
      <c r="K92" s="22" t="s">
        <v>523</v>
      </c>
      <c r="L92" s="22" t="s">
        <v>524</v>
      </c>
    </row>
    <row r="93" spans="1:12" ht="24" customHeight="1" x14ac:dyDescent="0.25">
      <c r="A93" s="19" t="s">
        <v>517</v>
      </c>
      <c r="B93" s="19" t="s">
        <v>229</v>
      </c>
      <c r="C93" s="19" t="s">
        <v>230</v>
      </c>
      <c r="D93" s="19" t="s">
        <v>518</v>
      </c>
      <c r="E93" s="19" t="s">
        <v>530</v>
      </c>
      <c r="F93" s="19" t="s">
        <v>531</v>
      </c>
      <c r="G93" s="19" t="s">
        <v>502</v>
      </c>
      <c r="H93" s="37" t="s">
        <v>357</v>
      </c>
      <c r="I93" s="21" t="s">
        <v>344</v>
      </c>
      <c r="J93" s="19" t="s">
        <v>503</v>
      </c>
      <c r="K93" s="19" t="s">
        <v>523</v>
      </c>
      <c r="L93" s="19" t="s">
        <v>524</v>
      </c>
    </row>
    <row r="94" spans="1:12" ht="24" customHeight="1" x14ac:dyDescent="0.25">
      <c r="A94" s="22" t="s">
        <v>517</v>
      </c>
      <c r="B94" s="22" t="s">
        <v>231</v>
      </c>
      <c r="C94" s="22" t="s">
        <v>232</v>
      </c>
      <c r="D94" s="22" t="s">
        <v>518</v>
      </c>
      <c r="E94" s="22" t="s">
        <v>530</v>
      </c>
      <c r="F94" s="22" t="s">
        <v>528</v>
      </c>
      <c r="G94" s="22" t="s">
        <v>529</v>
      </c>
      <c r="H94" s="37" t="s">
        <v>357</v>
      </c>
      <c r="I94" s="20" t="s">
        <v>350</v>
      </c>
      <c r="J94" s="22" t="s">
        <v>503</v>
      </c>
      <c r="K94" s="22" t="s">
        <v>523</v>
      </c>
      <c r="L94" s="22" t="s">
        <v>524</v>
      </c>
    </row>
    <row r="95" spans="1:12" ht="24" customHeight="1" x14ac:dyDescent="0.25">
      <c r="A95" s="19" t="s">
        <v>517</v>
      </c>
      <c r="B95" s="19" t="s">
        <v>233</v>
      </c>
      <c r="C95" s="19" t="s">
        <v>234</v>
      </c>
      <c r="D95" s="19" t="s">
        <v>518</v>
      </c>
      <c r="E95" s="19" t="s">
        <v>530</v>
      </c>
      <c r="F95" s="19" t="s">
        <v>532</v>
      </c>
      <c r="G95" s="19" t="s">
        <v>533</v>
      </c>
      <c r="H95" s="37" t="s">
        <v>357</v>
      </c>
      <c r="I95" s="20" t="s">
        <v>350</v>
      </c>
      <c r="J95" s="19" t="s">
        <v>534</v>
      </c>
      <c r="K95" s="19" t="s">
        <v>523</v>
      </c>
      <c r="L95" s="19" t="s">
        <v>524</v>
      </c>
    </row>
    <row r="96" spans="1:12" ht="24" customHeight="1" x14ac:dyDescent="0.25">
      <c r="A96" s="22" t="s">
        <v>517</v>
      </c>
      <c r="B96" s="22" t="s">
        <v>235</v>
      </c>
      <c r="C96" s="22" t="s">
        <v>236</v>
      </c>
      <c r="D96" s="22" t="s">
        <v>518</v>
      </c>
      <c r="E96" s="22" t="s">
        <v>530</v>
      </c>
      <c r="F96" s="22" t="s">
        <v>535</v>
      </c>
      <c r="G96" s="22" t="s">
        <v>536</v>
      </c>
      <c r="H96" s="37" t="s">
        <v>357</v>
      </c>
      <c r="I96" s="20" t="s">
        <v>350</v>
      </c>
      <c r="J96" s="22" t="s">
        <v>537</v>
      </c>
      <c r="K96" s="22" t="s">
        <v>523</v>
      </c>
      <c r="L96" s="22" t="s">
        <v>524</v>
      </c>
    </row>
    <row r="97" spans="1:12" ht="36" customHeight="1" x14ac:dyDescent="0.25">
      <c r="A97" s="19" t="s">
        <v>517</v>
      </c>
      <c r="B97" s="19" t="s">
        <v>237</v>
      </c>
      <c r="C97" s="19" t="s">
        <v>238</v>
      </c>
      <c r="D97" s="19" t="s">
        <v>518</v>
      </c>
      <c r="E97" s="19" t="s">
        <v>530</v>
      </c>
      <c r="F97" s="19" t="s">
        <v>538</v>
      </c>
      <c r="G97" s="19" t="s">
        <v>539</v>
      </c>
      <c r="H97" s="37" t="s">
        <v>357</v>
      </c>
      <c r="I97" s="21" t="s">
        <v>344</v>
      </c>
      <c r="J97" s="19" t="s">
        <v>540</v>
      </c>
      <c r="K97" s="19" t="s">
        <v>523</v>
      </c>
      <c r="L97" s="19" t="s">
        <v>524</v>
      </c>
    </row>
    <row r="98" spans="1:12" ht="27.95" customHeight="1" x14ac:dyDescent="0.25">
      <c r="A98" s="41" t="s">
        <v>541</v>
      </c>
      <c r="B98" s="42"/>
      <c r="C98" s="42"/>
      <c r="D98" s="42"/>
      <c r="E98" s="42"/>
      <c r="F98" s="42"/>
      <c r="G98" s="42"/>
      <c r="H98" s="42"/>
      <c r="I98" s="42"/>
      <c r="J98" s="42"/>
      <c r="K98" s="42"/>
      <c r="L98" s="43"/>
    </row>
    <row r="99" spans="1:12" ht="36" customHeight="1" x14ac:dyDescent="0.25">
      <c r="A99" s="19" t="s">
        <v>542</v>
      </c>
      <c r="B99" s="19" t="s">
        <v>272</v>
      </c>
      <c r="C99" s="19" t="s">
        <v>543</v>
      </c>
      <c r="D99" s="19" t="s">
        <v>544</v>
      </c>
      <c r="E99" s="19" t="s">
        <v>545</v>
      </c>
      <c r="F99" s="19" t="s">
        <v>546</v>
      </c>
      <c r="G99" s="19" t="s">
        <v>547</v>
      </c>
      <c r="H99" s="37" t="s">
        <v>357</v>
      </c>
      <c r="I99" s="21" t="s">
        <v>344</v>
      </c>
      <c r="J99" s="19" t="s">
        <v>527</v>
      </c>
      <c r="K99" s="19" t="s">
        <v>527</v>
      </c>
      <c r="L99" s="19" t="s">
        <v>548</v>
      </c>
    </row>
    <row r="100" spans="1:12" ht="36" customHeight="1" x14ac:dyDescent="0.25">
      <c r="A100" s="22" t="s">
        <v>542</v>
      </c>
      <c r="B100" s="22" t="s">
        <v>274</v>
      </c>
      <c r="C100" s="22" t="s">
        <v>275</v>
      </c>
      <c r="D100" s="22" t="s">
        <v>544</v>
      </c>
      <c r="E100" s="22" t="s">
        <v>545</v>
      </c>
      <c r="F100" s="22" t="s">
        <v>546</v>
      </c>
      <c r="G100" s="22" t="s">
        <v>547</v>
      </c>
      <c r="H100" s="37" t="s">
        <v>357</v>
      </c>
      <c r="I100" s="20" t="s">
        <v>350</v>
      </c>
      <c r="J100" s="22" t="s">
        <v>527</v>
      </c>
      <c r="K100" s="22" t="s">
        <v>527</v>
      </c>
      <c r="L100" s="22" t="s">
        <v>548</v>
      </c>
    </row>
    <row r="101" spans="1:12" ht="24" customHeight="1" x14ac:dyDescent="0.25">
      <c r="A101" s="19" t="s">
        <v>542</v>
      </c>
      <c r="B101" s="19" t="s">
        <v>276</v>
      </c>
      <c r="C101" s="19" t="s">
        <v>277</v>
      </c>
      <c r="D101" s="19" t="s">
        <v>544</v>
      </c>
      <c r="E101" s="19" t="s">
        <v>545</v>
      </c>
      <c r="F101" s="19" t="s">
        <v>525</v>
      </c>
      <c r="G101" s="19" t="s">
        <v>526</v>
      </c>
      <c r="H101" s="37" t="s">
        <v>357</v>
      </c>
      <c r="I101" s="20" t="s">
        <v>350</v>
      </c>
      <c r="J101" s="19" t="s">
        <v>527</v>
      </c>
      <c r="K101" s="19" t="s">
        <v>527</v>
      </c>
      <c r="L101" s="19" t="s">
        <v>548</v>
      </c>
    </row>
    <row r="102" spans="1:12" ht="24" customHeight="1" x14ac:dyDescent="0.25">
      <c r="A102" s="22" t="s">
        <v>542</v>
      </c>
      <c r="B102" s="22" t="s">
        <v>278</v>
      </c>
      <c r="C102" s="22" t="s">
        <v>279</v>
      </c>
      <c r="D102" s="22" t="s">
        <v>544</v>
      </c>
      <c r="E102" s="22" t="s">
        <v>545</v>
      </c>
      <c r="F102" s="22" t="s">
        <v>546</v>
      </c>
      <c r="G102" s="22" t="s">
        <v>547</v>
      </c>
      <c r="H102" s="37" t="s">
        <v>357</v>
      </c>
      <c r="I102" s="20" t="s">
        <v>350</v>
      </c>
      <c r="J102" s="22" t="s">
        <v>527</v>
      </c>
      <c r="K102" s="22" t="s">
        <v>527</v>
      </c>
      <c r="L102" s="22" t="s">
        <v>548</v>
      </c>
    </row>
    <row r="103" spans="1:12" ht="24" customHeight="1" x14ac:dyDescent="0.25">
      <c r="A103" s="19" t="s">
        <v>542</v>
      </c>
      <c r="B103" s="19" t="s">
        <v>282</v>
      </c>
      <c r="C103" s="19" t="s">
        <v>283</v>
      </c>
      <c r="D103" s="19" t="s">
        <v>544</v>
      </c>
      <c r="E103" s="19" t="s">
        <v>549</v>
      </c>
      <c r="F103" s="19" t="s">
        <v>550</v>
      </c>
      <c r="G103" s="19" t="s">
        <v>551</v>
      </c>
      <c r="H103" s="37" t="s">
        <v>357</v>
      </c>
      <c r="I103" s="21" t="s">
        <v>344</v>
      </c>
      <c r="J103" s="19" t="s">
        <v>527</v>
      </c>
      <c r="K103" s="19" t="s">
        <v>527</v>
      </c>
      <c r="L103" s="19" t="s">
        <v>548</v>
      </c>
    </row>
    <row r="104" spans="1:12" ht="24" customHeight="1" x14ac:dyDescent="0.25">
      <c r="A104" s="22" t="s">
        <v>542</v>
      </c>
      <c r="B104" s="22" t="s">
        <v>284</v>
      </c>
      <c r="C104" s="22" t="s">
        <v>285</v>
      </c>
      <c r="D104" s="22" t="s">
        <v>544</v>
      </c>
      <c r="E104" s="22" t="s">
        <v>549</v>
      </c>
      <c r="F104" s="22" t="s">
        <v>550</v>
      </c>
      <c r="G104" s="22" t="s">
        <v>551</v>
      </c>
      <c r="H104" s="37" t="s">
        <v>357</v>
      </c>
      <c r="I104" s="21" t="s">
        <v>344</v>
      </c>
      <c r="J104" s="22" t="s">
        <v>527</v>
      </c>
      <c r="K104" s="22" t="s">
        <v>527</v>
      </c>
      <c r="L104" s="22" t="s">
        <v>548</v>
      </c>
    </row>
    <row r="105" spans="1:12" ht="36" customHeight="1" x14ac:dyDescent="0.25">
      <c r="A105" s="19" t="s">
        <v>542</v>
      </c>
      <c r="B105" s="19" t="s">
        <v>260</v>
      </c>
      <c r="C105" s="19" t="s">
        <v>552</v>
      </c>
      <c r="D105" s="19" t="s">
        <v>544</v>
      </c>
      <c r="E105" s="19" t="s">
        <v>553</v>
      </c>
      <c r="F105" s="19" t="s">
        <v>546</v>
      </c>
      <c r="G105" s="19" t="s">
        <v>547</v>
      </c>
      <c r="H105" s="37" t="s">
        <v>357</v>
      </c>
      <c r="I105" s="21" t="s">
        <v>344</v>
      </c>
      <c r="J105" s="19" t="s">
        <v>527</v>
      </c>
      <c r="K105" s="19" t="s">
        <v>527</v>
      </c>
      <c r="L105" s="19" t="s">
        <v>548</v>
      </c>
    </row>
    <row r="106" spans="1:12" ht="24" customHeight="1" x14ac:dyDescent="0.25">
      <c r="A106" s="22" t="s">
        <v>542</v>
      </c>
      <c r="B106" s="22" t="s">
        <v>262</v>
      </c>
      <c r="C106" s="22" t="s">
        <v>263</v>
      </c>
      <c r="D106" s="22" t="s">
        <v>544</v>
      </c>
      <c r="E106" s="22" t="s">
        <v>553</v>
      </c>
      <c r="F106" s="22" t="s">
        <v>525</v>
      </c>
      <c r="G106" s="22" t="s">
        <v>526</v>
      </c>
      <c r="H106" s="37" t="s">
        <v>357</v>
      </c>
      <c r="I106" s="21" t="s">
        <v>344</v>
      </c>
      <c r="J106" s="22" t="s">
        <v>527</v>
      </c>
      <c r="K106" s="22" t="s">
        <v>527</v>
      </c>
      <c r="L106" s="22" t="s">
        <v>548</v>
      </c>
    </row>
    <row r="107" spans="1:12" ht="24" customHeight="1" x14ac:dyDescent="0.25">
      <c r="A107" s="19" t="s">
        <v>542</v>
      </c>
      <c r="B107" s="19" t="s">
        <v>264</v>
      </c>
      <c r="C107" s="19" t="s">
        <v>265</v>
      </c>
      <c r="D107" s="19" t="s">
        <v>544</v>
      </c>
      <c r="E107" s="19" t="s">
        <v>553</v>
      </c>
      <c r="F107" s="19" t="s">
        <v>546</v>
      </c>
      <c r="G107" s="19" t="s">
        <v>547</v>
      </c>
      <c r="H107" s="37" t="s">
        <v>357</v>
      </c>
      <c r="I107" s="21" t="s">
        <v>344</v>
      </c>
      <c r="J107" s="19" t="s">
        <v>527</v>
      </c>
      <c r="K107" s="19" t="s">
        <v>527</v>
      </c>
      <c r="L107" s="19" t="s">
        <v>548</v>
      </c>
    </row>
    <row r="108" spans="1:12" ht="24" customHeight="1" x14ac:dyDescent="0.25">
      <c r="A108" s="22" t="s">
        <v>542</v>
      </c>
      <c r="B108" s="22" t="s">
        <v>266</v>
      </c>
      <c r="C108" s="22" t="s">
        <v>267</v>
      </c>
      <c r="D108" s="22" t="s">
        <v>544</v>
      </c>
      <c r="E108" s="22" t="s">
        <v>553</v>
      </c>
      <c r="F108" s="22" t="s">
        <v>550</v>
      </c>
      <c r="G108" s="22" t="s">
        <v>551</v>
      </c>
      <c r="H108" s="37" t="s">
        <v>357</v>
      </c>
      <c r="I108" s="21" t="s">
        <v>344</v>
      </c>
      <c r="J108" s="22" t="s">
        <v>527</v>
      </c>
      <c r="K108" s="22" t="s">
        <v>527</v>
      </c>
      <c r="L108" s="22" t="s">
        <v>548</v>
      </c>
    </row>
    <row r="109" spans="1:12" ht="24" customHeight="1" x14ac:dyDescent="0.25">
      <c r="A109" s="19" t="s">
        <v>542</v>
      </c>
      <c r="B109" s="19" t="s">
        <v>268</v>
      </c>
      <c r="C109" s="19" t="s">
        <v>269</v>
      </c>
      <c r="D109" s="19" t="s">
        <v>544</v>
      </c>
      <c r="E109" s="19" t="s">
        <v>553</v>
      </c>
      <c r="F109" s="19" t="s">
        <v>554</v>
      </c>
      <c r="G109" s="19" t="s">
        <v>555</v>
      </c>
      <c r="H109" s="37" t="s">
        <v>357</v>
      </c>
      <c r="I109" s="20" t="s">
        <v>350</v>
      </c>
      <c r="J109" s="19" t="s">
        <v>556</v>
      </c>
      <c r="K109" s="19" t="s">
        <v>527</v>
      </c>
      <c r="L109" s="19" t="s">
        <v>548</v>
      </c>
    </row>
    <row r="110" spans="1:12" ht="24" customHeight="1" x14ac:dyDescent="0.25">
      <c r="A110" s="22" t="s">
        <v>542</v>
      </c>
      <c r="B110" s="22" t="s">
        <v>288</v>
      </c>
      <c r="C110" s="22" t="s">
        <v>289</v>
      </c>
      <c r="D110" s="22" t="s">
        <v>544</v>
      </c>
      <c r="E110" s="22" t="s">
        <v>557</v>
      </c>
      <c r="F110" s="22" t="s">
        <v>550</v>
      </c>
      <c r="G110" s="22" t="s">
        <v>551</v>
      </c>
      <c r="H110" s="37" t="s">
        <v>357</v>
      </c>
      <c r="I110" s="21" t="s">
        <v>344</v>
      </c>
      <c r="J110" s="22" t="s">
        <v>527</v>
      </c>
      <c r="K110" s="22" t="s">
        <v>527</v>
      </c>
      <c r="L110" s="22" t="s">
        <v>548</v>
      </c>
    </row>
    <row r="111" spans="1:12" ht="24" customHeight="1" x14ac:dyDescent="0.25">
      <c r="A111" s="19" t="s">
        <v>542</v>
      </c>
      <c r="B111" s="19" t="s">
        <v>290</v>
      </c>
      <c r="C111" s="19" t="s">
        <v>291</v>
      </c>
      <c r="D111" s="19" t="s">
        <v>544</v>
      </c>
      <c r="E111" s="19" t="s">
        <v>557</v>
      </c>
      <c r="F111" s="19" t="s">
        <v>550</v>
      </c>
      <c r="G111" s="19" t="s">
        <v>551</v>
      </c>
      <c r="H111" s="37" t="s">
        <v>357</v>
      </c>
      <c r="I111" s="21" t="s">
        <v>344</v>
      </c>
      <c r="J111" s="19" t="s">
        <v>527</v>
      </c>
      <c r="K111" s="19" t="s">
        <v>527</v>
      </c>
      <c r="L111" s="19" t="s">
        <v>548</v>
      </c>
    </row>
    <row r="112" spans="1:12" ht="27.95" customHeight="1" x14ac:dyDescent="0.25">
      <c r="A112" s="41" t="s">
        <v>558</v>
      </c>
      <c r="B112" s="42"/>
      <c r="C112" s="42"/>
      <c r="D112" s="42"/>
      <c r="E112" s="42"/>
      <c r="F112" s="42"/>
      <c r="G112" s="42"/>
      <c r="H112" s="42"/>
      <c r="I112" s="42"/>
      <c r="J112" s="42"/>
      <c r="K112" s="42"/>
      <c r="L112" s="43"/>
    </row>
    <row r="113" spans="1:12" ht="36" customHeight="1" x14ac:dyDescent="0.25">
      <c r="A113" s="19" t="s">
        <v>559</v>
      </c>
      <c r="B113" s="19" t="s">
        <v>310</v>
      </c>
      <c r="C113" s="19" t="s">
        <v>311</v>
      </c>
      <c r="D113" s="19" t="s">
        <v>560</v>
      </c>
      <c r="E113" s="19" t="s">
        <v>561</v>
      </c>
      <c r="F113" s="19" t="s">
        <v>554</v>
      </c>
      <c r="G113" s="19" t="s">
        <v>555</v>
      </c>
      <c r="H113" s="37" t="s">
        <v>357</v>
      </c>
      <c r="I113" s="21" t="s">
        <v>344</v>
      </c>
      <c r="J113" s="19" t="s">
        <v>556</v>
      </c>
      <c r="K113" s="19" t="s">
        <v>562</v>
      </c>
      <c r="L113" s="19" t="s">
        <v>563</v>
      </c>
    </row>
    <row r="114" spans="1:12" ht="24" customHeight="1" x14ac:dyDescent="0.25">
      <c r="A114" s="22" t="s">
        <v>559</v>
      </c>
      <c r="B114" s="22" t="s">
        <v>312</v>
      </c>
      <c r="C114" s="22" t="s">
        <v>313</v>
      </c>
      <c r="D114" s="22" t="s">
        <v>560</v>
      </c>
      <c r="E114" s="22" t="s">
        <v>561</v>
      </c>
      <c r="F114" s="22" t="s">
        <v>550</v>
      </c>
      <c r="G114" s="22" t="s">
        <v>551</v>
      </c>
      <c r="H114" s="37" t="s">
        <v>357</v>
      </c>
      <c r="I114" s="20" t="s">
        <v>350</v>
      </c>
      <c r="J114" s="22" t="s">
        <v>527</v>
      </c>
      <c r="K114" s="22" t="s">
        <v>562</v>
      </c>
      <c r="L114" s="22" t="s">
        <v>563</v>
      </c>
    </row>
    <row r="115" spans="1:12" ht="36" customHeight="1" x14ac:dyDescent="0.25">
      <c r="A115" s="19" t="s">
        <v>559</v>
      </c>
      <c r="B115" s="19" t="s">
        <v>296</v>
      </c>
      <c r="C115" s="19" t="s">
        <v>297</v>
      </c>
      <c r="D115" s="19" t="s">
        <v>560</v>
      </c>
      <c r="E115" s="19" t="s">
        <v>564</v>
      </c>
      <c r="F115" s="19" t="s">
        <v>565</v>
      </c>
      <c r="G115" s="19" t="s">
        <v>566</v>
      </c>
      <c r="H115" s="37" t="s">
        <v>357</v>
      </c>
      <c r="I115" s="21" t="s">
        <v>344</v>
      </c>
      <c r="J115" s="19" t="s">
        <v>495</v>
      </c>
      <c r="K115" s="19" t="s">
        <v>562</v>
      </c>
      <c r="L115" s="19" t="s">
        <v>563</v>
      </c>
    </row>
    <row r="116" spans="1:12" ht="24" customHeight="1" x14ac:dyDescent="0.25">
      <c r="A116" s="22" t="s">
        <v>559</v>
      </c>
      <c r="B116" s="22" t="s">
        <v>298</v>
      </c>
      <c r="C116" s="22" t="s">
        <v>299</v>
      </c>
      <c r="D116" s="22" t="s">
        <v>560</v>
      </c>
      <c r="E116" s="22" t="s">
        <v>564</v>
      </c>
      <c r="F116" s="22" t="s">
        <v>565</v>
      </c>
      <c r="G116" s="22" t="s">
        <v>566</v>
      </c>
      <c r="H116" s="37" t="s">
        <v>357</v>
      </c>
      <c r="I116" s="21" t="s">
        <v>344</v>
      </c>
      <c r="J116" s="22" t="s">
        <v>495</v>
      </c>
      <c r="K116" s="22" t="s">
        <v>562</v>
      </c>
      <c r="L116" s="22" t="s">
        <v>563</v>
      </c>
    </row>
    <row r="117" spans="1:12" ht="24" customHeight="1" x14ac:dyDescent="0.25">
      <c r="A117" s="19" t="s">
        <v>559</v>
      </c>
      <c r="B117" s="19" t="s">
        <v>300</v>
      </c>
      <c r="C117" s="19" t="s">
        <v>301</v>
      </c>
      <c r="D117" s="19" t="s">
        <v>560</v>
      </c>
      <c r="E117" s="19" t="s">
        <v>564</v>
      </c>
      <c r="F117" s="19" t="s">
        <v>493</v>
      </c>
      <c r="G117" s="19" t="s">
        <v>494</v>
      </c>
      <c r="H117" s="37" t="s">
        <v>357</v>
      </c>
      <c r="I117" s="21" t="s">
        <v>344</v>
      </c>
      <c r="J117" s="19" t="s">
        <v>495</v>
      </c>
      <c r="K117" s="19" t="s">
        <v>562</v>
      </c>
      <c r="L117" s="19" t="s">
        <v>563</v>
      </c>
    </row>
    <row r="118" spans="1:12" ht="36" customHeight="1" x14ac:dyDescent="0.25">
      <c r="A118" s="22" t="s">
        <v>559</v>
      </c>
      <c r="B118" s="22" t="s">
        <v>302</v>
      </c>
      <c r="C118" s="22" t="s">
        <v>303</v>
      </c>
      <c r="D118" s="22" t="s">
        <v>560</v>
      </c>
      <c r="E118" s="22" t="s">
        <v>564</v>
      </c>
      <c r="F118" s="22" t="s">
        <v>493</v>
      </c>
      <c r="G118" s="22" t="s">
        <v>494</v>
      </c>
      <c r="H118" s="37" t="s">
        <v>357</v>
      </c>
      <c r="I118" s="20" t="s">
        <v>350</v>
      </c>
      <c r="J118" s="22" t="s">
        <v>495</v>
      </c>
      <c r="K118" s="22" t="s">
        <v>562</v>
      </c>
      <c r="L118" s="22" t="s">
        <v>563</v>
      </c>
    </row>
    <row r="119" spans="1:12" ht="36" customHeight="1" x14ac:dyDescent="0.25">
      <c r="A119" s="19" t="s">
        <v>559</v>
      </c>
      <c r="B119" s="19" t="s">
        <v>304</v>
      </c>
      <c r="C119" s="19" t="s">
        <v>305</v>
      </c>
      <c r="D119" s="19" t="s">
        <v>560</v>
      </c>
      <c r="E119" s="19" t="s">
        <v>564</v>
      </c>
      <c r="F119" s="19" t="s">
        <v>565</v>
      </c>
      <c r="G119" s="19" t="s">
        <v>566</v>
      </c>
      <c r="H119" s="37" t="s">
        <v>357</v>
      </c>
      <c r="I119" s="21" t="s">
        <v>344</v>
      </c>
      <c r="J119" s="19" t="s">
        <v>495</v>
      </c>
      <c r="K119" s="19" t="s">
        <v>562</v>
      </c>
      <c r="L119" s="19" t="s">
        <v>563</v>
      </c>
    </row>
    <row r="120" spans="1:12" ht="36" customHeight="1" x14ac:dyDescent="0.25">
      <c r="A120" s="22" t="s">
        <v>559</v>
      </c>
      <c r="B120" s="22" t="s">
        <v>306</v>
      </c>
      <c r="C120" s="22" t="s">
        <v>307</v>
      </c>
      <c r="D120" s="22" t="s">
        <v>560</v>
      </c>
      <c r="E120" s="22" t="s">
        <v>564</v>
      </c>
      <c r="F120" s="22" t="s">
        <v>565</v>
      </c>
      <c r="G120" s="22" t="s">
        <v>566</v>
      </c>
      <c r="H120" s="37" t="s">
        <v>357</v>
      </c>
      <c r="I120" s="20" t="s">
        <v>350</v>
      </c>
      <c r="J120" s="22" t="s">
        <v>495</v>
      </c>
      <c r="K120" s="22" t="s">
        <v>562</v>
      </c>
      <c r="L120" s="22" t="s">
        <v>563</v>
      </c>
    </row>
    <row r="121" spans="1:12" ht="27.95" customHeight="1" x14ac:dyDescent="0.25">
      <c r="A121" s="41" t="s">
        <v>567</v>
      </c>
      <c r="B121" s="42"/>
      <c r="C121" s="42"/>
      <c r="D121" s="42"/>
      <c r="E121" s="42"/>
      <c r="F121" s="42"/>
      <c r="G121" s="42"/>
      <c r="H121" s="42"/>
      <c r="I121" s="42"/>
      <c r="J121" s="42"/>
      <c r="K121" s="42"/>
      <c r="L121" s="43"/>
    </row>
    <row r="122" spans="1:12" ht="24" customHeight="1" x14ac:dyDescent="0.25">
      <c r="A122" s="19" t="s">
        <v>568</v>
      </c>
      <c r="B122" s="19" t="s">
        <v>161</v>
      </c>
      <c r="C122" s="19" t="s">
        <v>162</v>
      </c>
      <c r="D122" s="19" t="s">
        <v>397</v>
      </c>
      <c r="E122" s="19" t="s">
        <v>569</v>
      </c>
      <c r="F122" s="19" t="s">
        <v>570</v>
      </c>
      <c r="G122" s="19" t="s">
        <v>571</v>
      </c>
      <c r="H122" s="37" t="s">
        <v>357</v>
      </c>
      <c r="I122" s="20" t="s">
        <v>350</v>
      </c>
      <c r="J122" s="19" t="s">
        <v>389</v>
      </c>
      <c r="K122" s="19" t="s">
        <v>572</v>
      </c>
      <c r="L122" s="19" t="s">
        <v>573</v>
      </c>
    </row>
    <row r="123" spans="1:12" ht="36" customHeight="1" x14ac:dyDescent="0.25">
      <c r="A123" s="22" t="s">
        <v>568</v>
      </c>
      <c r="B123" s="22" t="s">
        <v>163</v>
      </c>
      <c r="C123" s="22" t="s">
        <v>574</v>
      </c>
      <c r="D123" s="22" t="s">
        <v>397</v>
      </c>
      <c r="E123" s="22" t="s">
        <v>569</v>
      </c>
      <c r="F123" s="22" t="s">
        <v>565</v>
      </c>
      <c r="G123" s="22" t="s">
        <v>566</v>
      </c>
      <c r="H123" s="37" t="s">
        <v>357</v>
      </c>
      <c r="I123" s="21" t="s">
        <v>344</v>
      </c>
      <c r="J123" s="22" t="s">
        <v>495</v>
      </c>
      <c r="K123" s="22" t="s">
        <v>572</v>
      </c>
      <c r="L123" s="22" t="s">
        <v>573</v>
      </c>
    </row>
    <row r="124" spans="1:12" ht="24" customHeight="1" x14ac:dyDescent="0.25">
      <c r="A124" s="19" t="s">
        <v>568</v>
      </c>
      <c r="B124" s="19" t="s">
        <v>165</v>
      </c>
      <c r="C124" s="19" t="s">
        <v>166</v>
      </c>
      <c r="D124" s="19" t="s">
        <v>397</v>
      </c>
      <c r="E124" s="19" t="s">
        <v>569</v>
      </c>
      <c r="F124" s="19" t="s">
        <v>575</v>
      </c>
      <c r="G124" s="19" t="s">
        <v>576</v>
      </c>
      <c r="H124" s="37" t="s">
        <v>357</v>
      </c>
      <c r="I124" s="20" t="s">
        <v>350</v>
      </c>
      <c r="J124" s="19" t="s">
        <v>522</v>
      </c>
      <c r="K124" s="19" t="s">
        <v>572</v>
      </c>
      <c r="L124" s="19" t="s">
        <v>573</v>
      </c>
    </row>
    <row r="125" spans="1:12" ht="36" customHeight="1" x14ac:dyDescent="0.25">
      <c r="A125" s="22" t="s">
        <v>568</v>
      </c>
      <c r="B125" s="22" t="s">
        <v>167</v>
      </c>
      <c r="C125" s="22" t="s">
        <v>168</v>
      </c>
      <c r="D125" s="22" t="s">
        <v>397</v>
      </c>
      <c r="E125" s="22" t="s">
        <v>569</v>
      </c>
      <c r="F125" s="22" t="s">
        <v>577</v>
      </c>
      <c r="G125" s="22" t="s">
        <v>578</v>
      </c>
      <c r="H125" s="37" t="s">
        <v>357</v>
      </c>
      <c r="I125" s="20" t="s">
        <v>350</v>
      </c>
      <c r="J125" s="22" t="s">
        <v>556</v>
      </c>
      <c r="K125" s="22" t="s">
        <v>572</v>
      </c>
      <c r="L125" s="22" t="s">
        <v>573</v>
      </c>
    </row>
  </sheetData>
  <autoFilter ref="A2:L125" xr:uid="{00000000-0009-0000-0000-000002000000}"/>
  <mergeCells count="16">
    <mergeCell ref="A121:L121"/>
    <mergeCell ref="A28:L28"/>
    <mergeCell ref="A1:L1"/>
    <mergeCell ref="A84:L84"/>
    <mergeCell ref="A37:L37"/>
    <mergeCell ref="A14:L14"/>
    <mergeCell ref="A58:L58"/>
    <mergeCell ref="A70:L70"/>
    <mergeCell ref="A3:L3"/>
    <mergeCell ref="A50:L50"/>
    <mergeCell ref="A65:L65"/>
    <mergeCell ref="A20:L20"/>
    <mergeCell ref="A81:L81"/>
    <mergeCell ref="A10:L10"/>
    <mergeCell ref="A98:L98"/>
    <mergeCell ref="A112:L11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Working Profile</vt:lpstr>
      <vt:lpstr>Reference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Eugene Powell</cp:lastModifiedBy>
  <cp:revision>0</cp:revision>
  <dcterms:created xsi:type="dcterms:W3CDTF">2026-03-13T23:21:23Z</dcterms:created>
  <dcterms:modified xsi:type="dcterms:W3CDTF">2026-03-14T16:20:01Z</dcterms:modified>
  <dc:language>en-US</dc:language>
</cp:coreProperties>
</file>