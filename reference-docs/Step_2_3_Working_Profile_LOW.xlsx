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onitc-my.sharepoint.us/personal/eugene_powell_kentro_us/Documents/Projects/DOC/Updated Methodolgy/2. Interview Steps/"/>
    </mc:Choice>
  </mc:AlternateContent>
  <xr:revisionPtr revIDLastSave="0" documentId="8_{65F868BA-4500-46FE-8B26-9667E2A71B5F}" xr6:coauthVersionLast="47" xr6:coauthVersionMax="47" xr10:uidLastSave="{00000000-0000-0000-0000-000000000000}"/>
  <bookViews>
    <workbookView xWindow="-28920" yWindow="-120" windowWidth="29040" windowHeight="15720" tabRatio="500" xr2:uid="{00000000-000D-0000-FFFF-FFFF00000000}"/>
  </bookViews>
  <sheets>
    <sheet name="Instructions" sheetId="1" r:id="rId1"/>
    <sheet name="Working Profile" sheetId="2" r:id="rId2"/>
    <sheet name="Reference Data" sheetId="3" r:id="rId3"/>
  </sheets>
  <definedNames>
    <definedName name="_xlnm._FilterDatabase" localSheetId="2" hidden="1">'Reference Data'!$A$2:$L$125</definedName>
    <definedName name="_xlnm._FilterDatabase" localSheetId="1" hidden="1">'Working Profile'!$A$2:$I$138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 i="2" l="1"/>
  <c r="H137" i="2"/>
  <c r="H135" i="2"/>
  <c r="H134" i="2"/>
  <c r="H133" i="2"/>
  <c r="H132" i="2"/>
  <c r="H131" i="2"/>
  <c r="H130" i="2"/>
  <c r="H127" i="2"/>
  <c r="H126" i="2"/>
  <c r="H124" i="2"/>
  <c r="H123" i="2"/>
  <c r="H121" i="2"/>
  <c r="H120" i="2"/>
  <c r="H119" i="2"/>
  <c r="H118" i="2"/>
  <c r="H116" i="2"/>
  <c r="H115" i="2"/>
  <c r="H114" i="2"/>
  <c r="H113" i="2"/>
  <c r="H112" i="2"/>
  <c r="H109" i="2"/>
  <c r="H108" i="2"/>
  <c r="H107" i="2"/>
  <c r="H106" i="2"/>
  <c r="H105" i="2"/>
  <c r="H104" i="2"/>
  <c r="H103" i="2"/>
  <c r="H102" i="2"/>
  <c r="H100" i="2"/>
  <c r="H99" i="2"/>
  <c r="H98" i="2"/>
  <c r="H97" i="2"/>
  <c r="H96" i="2"/>
  <c r="H93" i="2"/>
  <c r="H92" i="2"/>
  <c r="H91" i="2"/>
  <c r="H90" i="2"/>
  <c r="H88" i="2"/>
  <c r="H87" i="2"/>
  <c r="H86" i="2"/>
  <c r="H85" i="2"/>
  <c r="H84" i="2"/>
  <c r="H83" i="2"/>
  <c r="H81" i="2"/>
  <c r="H80" i="2"/>
  <c r="H79" i="2"/>
  <c r="H78" i="2"/>
  <c r="H76" i="2"/>
  <c r="H75" i="2"/>
  <c r="H73" i="2"/>
  <c r="H72" i="2"/>
  <c r="H71" i="2"/>
  <c r="H70" i="2"/>
  <c r="H69" i="2"/>
  <c r="H68" i="2"/>
  <c r="H65" i="2"/>
  <c r="H64" i="2"/>
  <c r="H63" i="2"/>
  <c r="H62" i="2"/>
  <c r="H60" i="2"/>
  <c r="H59" i="2"/>
  <c r="H58" i="2"/>
  <c r="H57" i="2"/>
  <c r="H56" i="2"/>
  <c r="H55" i="2"/>
  <c r="H54" i="2"/>
  <c r="H53" i="2"/>
  <c r="H52" i="2"/>
  <c r="H51" i="2"/>
  <c r="H49" i="2"/>
  <c r="H48" i="2"/>
  <c r="H47" i="2"/>
  <c r="H46" i="2"/>
  <c r="H45" i="2"/>
  <c r="H44" i="2"/>
  <c r="H43" i="2"/>
  <c r="H40" i="2"/>
  <c r="H39" i="2"/>
  <c r="H38" i="2"/>
  <c r="H37" i="2"/>
  <c r="H36" i="2"/>
  <c r="H35" i="2"/>
  <c r="H34" i="2"/>
  <c r="H33" i="2"/>
  <c r="H32" i="2"/>
  <c r="H31" i="2"/>
  <c r="H29" i="2"/>
  <c r="H28" i="2"/>
  <c r="H27" i="2"/>
  <c r="H25" i="2"/>
  <c r="H24" i="2"/>
  <c r="H22" i="2"/>
  <c r="H21" i="2"/>
  <c r="H20" i="2"/>
  <c r="H19" i="2"/>
  <c r="H17" i="2"/>
  <c r="H16" i="2"/>
  <c r="H15" i="2"/>
  <c r="H14" i="2"/>
  <c r="H13" i="2"/>
  <c r="H12" i="2"/>
  <c r="H11" i="2"/>
  <c r="H9" i="2"/>
  <c r="H8" i="2"/>
  <c r="H7" i="2"/>
  <c r="H6" i="2"/>
  <c r="H5" i="2"/>
</calcChain>
</file>

<file path=xl/sharedStrings.xml><?xml version="1.0" encoding="utf-8"?>
<sst xmlns="http://schemas.openxmlformats.org/spreadsheetml/2006/main" count="1758" uniqueCount="579">
  <si>
    <t>INTERVIEW PROCESS (for assessment team)</t>
  </si>
  <si>
    <t>POST INTERVIEW INSTRUCTIONS</t>
  </si>
  <si>
    <t>Step A — Send the pre-interview questionnaire to the ISSO at least 5 business days before the interview. This gives them time to gather artifacts and think through their responses.</t>
  </si>
  <si>
    <t xml:space="preserve">STEP 1: SCORE CURRENT MATURITY </t>
  </si>
  <si>
    <t>Step B — Conduct the interview with two people:</t>
  </si>
  <si>
    <t>Once you have findings and evidence for a subcategory, assign a maturity level in Column F.</t>
  </si>
  <si>
    <t xml:space="preserve">   •  Person 1 (Interviewer): Asks questions from the questionnaire. Follows the cues. Stays conversational.</t>
  </si>
  <si>
    <t>Level 1 — Ad Hoc</t>
  </si>
  <si>
    <t xml:space="preserve">   •  Person 2 (Recorder): Has the Reference Data tab open. Follows along question by question, top to bottom. Captures "What We Found" notes and flags which evidence was referenced.</t>
  </si>
  <si>
    <t>Activities are informal, reactive, and undocumented.</t>
  </si>
  <si>
    <t>Do NOT try to score maturity during the interview — just captures what was said.</t>
  </si>
  <si>
    <t>Level 2 — Defined</t>
  </si>
  <si>
    <t>Step C — Same-day reconciliation (within 1 hour of interview):</t>
  </si>
  <si>
    <t>Policies and procedures exist but are not consistently followed.</t>
  </si>
  <si>
    <t xml:space="preserve">   •  Person 1 and Person 2 sit down together while the conversation is fresh.</t>
  </si>
  <si>
    <t>Level 3 — Consistently Implemented</t>
  </si>
  <si>
    <t xml:space="preserve">   •  Clean up the "What We Found" narratives in the Working Profile (Column D).</t>
  </si>
  <si>
    <t>Processes are in place enterprise-wide and working as intended.</t>
  </si>
  <si>
    <t xml:space="preserve">   •  Confirm what evidence was cited and log it in Column E.</t>
  </si>
  <si>
    <t>Level 4 — Managed and Measurable</t>
  </si>
  <si>
    <t xml:space="preserve">   •  Assign a preliminary maturity score in Column F (mark as draft — it may change after other interviews).</t>
  </si>
  <si>
    <t>Metrics are tracked and effectiveness is regularly evaluated.</t>
  </si>
  <si>
    <t>Step D — Send a brief summary back to the ISSO within 48 hours:</t>
  </si>
  <si>
    <t>Level 5 — Optimized</t>
  </si>
  <si>
    <t xml:space="preserve">   •  One page: "Here is what we heard. Here is what evidence we are expecting from you. Please let us know if we misunderstood anything."</t>
  </si>
  <si>
    <t>Continuous improvement is embedded. Controls adapt based on risk and lessons learned.</t>
  </si>
  <si>
    <t xml:space="preserve">   •  This creates a paper trail and prompts them to send promised artifacts.</t>
  </si>
  <si>
    <t>Rule: If you cannot produce evidence for a capability, the score cannot exceed Level 2.</t>
  </si>
  <si>
    <t>Step E — Cross-interview reconciliation (after all interviews for a tier are complete):</t>
  </si>
  <si>
    <t xml:space="preserve">   •  Review each subcategory across all interviews. Did every ISSO tell the same story?</t>
  </si>
  <si>
    <t xml:space="preserve">   •  Resolve conflicts. The enterprise score must reflect the full picture, not one system.</t>
  </si>
  <si>
    <t xml:space="preserve">   •  Lock maturity scores once reconciled.</t>
  </si>
  <si>
    <t>Tip: The Reference Data tab is ordered by interview question (H-Q1 through H-Q15), not by CSF hierarchy. This means Person 2 can follow it top to bottom during the interview without jumping around.</t>
  </si>
  <si>
    <t>DOC OCIO — CSF 2.0 Organizational Profile: LOW IMPACT SYSTEMS</t>
  </si>
  <si>
    <t>ID</t>
  </si>
  <si>
    <t>Description</t>
  </si>
  <si>
    <t>In Scope?</t>
  </si>
  <si>
    <t>What We Found</t>
  </si>
  <si>
    <t>Evidence / Artifacts</t>
  </si>
  <si>
    <t>Current
Maturity
(1-5)</t>
  </si>
  <si>
    <t>Target
Maturity
(1-5)</t>
  </si>
  <si>
    <t>Gap?</t>
  </si>
  <si>
    <t>Notes</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</si>
  <si>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</si>
  <si>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</si>
  <si>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</si>
  <si>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</si>
  <si>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</si>
  <si>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</si>
  <si>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Yes</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</si>
  <si>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</si>
  <si>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</si>
  <si>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</si>
  <si>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</si>
  <si>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</si>
  <si>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</si>
  <si>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</si>
  <si>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</si>
  <si>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</si>
  <si>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</si>
  <si>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</si>
  <si>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</si>
  <si>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</si>
  <si>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</si>
  <si>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</si>
  <si>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</si>
  <si>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</si>
  <si>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</si>
  <si>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</si>
  <si>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</si>
  <si>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</si>
  <si>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</si>
  <si>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</si>
  <si>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</si>
  <si>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</si>
  <si>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</si>
  <si>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</si>
  <si>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</si>
  <si>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</si>
  <si>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</si>
  <si>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</si>
  <si>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</si>
  <si>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</si>
  <si>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</si>
  <si>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</si>
  <si>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</si>
  <si>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</si>
  <si>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</si>
  <si>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</si>
  <si>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</si>
  <si>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</si>
  <si>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</si>
  <si>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</si>
  <si>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</si>
  <si>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</si>
  <si>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</si>
  <si>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</si>
  <si>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</si>
  <si>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</si>
  <si>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</si>
  <si>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</si>
  <si>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</si>
  <si>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</si>
  <si>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</si>
  <si>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</si>
  <si>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</si>
  <si>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</si>
  <si>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</si>
  <si>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</si>
  <si>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</si>
  <si>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</si>
  <si>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</si>
  <si>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</si>
  <si>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</si>
  <si>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</si>
  <si>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</si>
  <si>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</si>
  <si>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</si>
  <si>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</si>
  <si>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</si>
  <si>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</si>
  <si>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</si>
  <si>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</si>
  <si>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</si>
  <si>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</si>
  <si>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</si>
  <si>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</si>
  <si>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</si>
  <si>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</si>
  <si>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</si>
  <si>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</si>
  <si>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</si>
  <si>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</si>
  <si>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</si>
  <si>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</si>
  <si>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</si>
  <si>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</si>
  <si>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</si>
  <si>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</si>
  <si>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</si>
  <si>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</si>
  <si>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</si>
  <si>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</si>
  <si>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</si>
  <si>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</si>
  <si>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</si>
  <si>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</si>
  <si>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</si>
  <si>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</si>
  <si>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</si>
  <si>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</si>
  <si>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</si>
  <si>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</si>
  <si>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</si>
  <si>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</si>
  <si>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</si>
  <si>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</si>
  <si>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</si>
  <si>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</si>
  <si>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</si>
  <si>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</si>
  <si>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</si>
  <si>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</si>
  <si>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</si>
  <si>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</si>
  <si>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</si>
  <si>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</si>
  <si>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</si>
  <si>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</si>
  <si>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</si>
  <si>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</si>
  <si>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</si>
  <si>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</si>
  <si>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</si>
  <si>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</si>
  <si>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</si>
  <si>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</si>
  <si>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</si>
  <si>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</si>
  <si>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</si>
  <si>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</si>
  <si>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</si>
  <si>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</si>
  <si>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</si>
  <si>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</si>
  <si>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</si>
  <si>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</si>
  <si>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</si>
  <si>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</si>
  <si>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</si>
  <si>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</si>
  <si>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</si>
  <si>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</si>
  <si>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</si>
  <si>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</si>
  <si>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</si>
  <si>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</si>
  <si>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</si>
  <si>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</si>
  <si>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</si>
  <si>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</si>
  <si>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</si>
  <si>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</si>
  <si>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</si>
  <si>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</si>
  <si>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</si>
  <si>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</si>
  <si>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</si>
  <si>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</si>
  <si>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</si>
  <si>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</si>
  <si>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</si>
  <si>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</si>
  <si>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</si>
  <si>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</si>
  <si>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</si>
  <si>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</si>
  <si>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</si>
  <si>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</si>
  <si>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</si>
  <si>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</si>
  <si>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</si>
  <si>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</si>
  <si>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</si>
  <si>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</si>
  <si>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</si>
  <si>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</si>
  <si>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</si>
  <si>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</si>
  <si>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</si>
  <si>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</si>
  <si>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</si>
  <si>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</si>
  <si>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</si>
  <si>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</si>
  <si>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</si>
  <si>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</si>
  <si>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</si>
  <si>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</si>
  <si>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</si>
  <si>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</si>
  <si>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DE.AE-01</t>
  </si>
  <si>
    <t>Adverse events are analyzed to find possible attacks and compromises</t>
  </si>
  <si>
    <t>DE.AE-02</t>
  </si>
  <si>
    <t>Potentially adverse events are analyzed to better understand associated activities</t>
  </si>
  <si>
    <t>DE.AE-03</t>
  </si>
  <si>
    <t>Information is correlated from multiple sources</t>
  </si>
  <si>
    <t>DE.AE-04</t>
  </si>
  <si>
    <t>The estimated impact and scope of adverse events are understood</t>
  </si>
  <si>
    <t>DE.AE-05</t>
  </si>
  <si>
    <t>Cyber threat intelligence and other contextual information are integrated into the analysis</t>
  </si>
  <si>
    <t>DE.AE-06</t>
  </si>
  <si>
    <t>Information on adverse events is provided to authorized staff and tools</t>
  </si>
  <si>
    <t>DE.AE-07</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</si>
  <si>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</si>
  <si>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</si>
  <si>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</si>
  <si>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</si>
  <si>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</si>
  <si>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</si>
  <si>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</si>
  <si>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</si>
  <si>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</si>
  <si>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</si>
  <si>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</si>
  <si>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</si>
  <si>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</si>
  <si>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</si>
  <si>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</si>
  <si>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</si>
  <si>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</si>
  <si>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</si>
  <si>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</si>
  <si>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</si>
  <si>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</si>
  <si>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</si>
  <si>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</si>
  <si>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</si>
  <si>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</si>
  <si>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</si>
  <si>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</si>
  <si>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</si>
  <si>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</si>
  <si>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</si>
  <si>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</si>
  <si>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</si>
  <si>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</si>
  <si>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</si>
  <si>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</si>
  <si>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</si>
  <si>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</si>
  <si>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</si>
  <si>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</si>
  <si>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</si>
  <si>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</si>
  <si>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</si>
  <si>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</si>
  <si>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</si>
  <si>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</si>
  <si>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</si>
  <si>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</si>
  <si>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</si>
  <si>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</si>
  <si>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</si>
  <si>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</si>
  <si>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</si>
  <si>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</si>
  <si>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</si>
  <si>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</si>
  <si>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</si>
  <si>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</si>
  <si>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</si>
  <si>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</si>
  <si>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</si>
  <si>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MATURITY LEVELS</t>
  </si>
  <si>
    <t>1 - Ad Hoc</t>
  </si>
  <si>
    <t>Activities are informal, reactive, undocumented</t>
  </si>
  <si>
    <t>2 - Defined</t>
  </si>
  <si>
    <t>Policies and procedures exist but are inconsistently implemented</t>
  </si>
  <si>
    <t>3 - Consistently Implemented</t>
  </si>
  <si>
    <t>Processes are implemented enterprise-wide and operating as intended</t>
  </si>
  <si>
    <t>4 - Managed and Measurable</t>
  </si>
  <si>
    <t>Performance metrics are tracked; effectiveness is evaluated</t>
  </si>
  <si>
    <t>5 - Optimized</t>
  </si>
  <si>
    <t>Continuous improvement is embedded; controls adapt to risk signals</t>
  </si>
  <si>
    <t>Reference Data — Ordered by Interview Question Flow</t>
  </si>
  <si>
    <t>Question #</t>
  </si>
  <si>
    <t>Subcategory ID</t>
  </si>
  <si>
    <t>CSF Function</t>
  </si>
  <si>
    <t>CSF Category</t>
  </si>
  <si>
    <t>IG Metric #</t>
  </si>
  <si>
    <t>IG Metric Name</t>
  </si>
  <si>
    <t>Core / Supp</t>
  </si>
  <si>
    <t>Alignment</t>
  </si>
  <si>
    <t>FISMA Domain</t>
  </si>
  <si>
    <t>Interview Topic Family</t>
  </si>
  <si>
    <t>Question Summary</t>
  </si>
  <si>
    <t>L-Q1  |  Governance, Leadership &amp; Oversight  |  "How is cybersecurity governed? Who is accountable? Are roles documented?"</t>
  </si>
  <si>
    <t>L-Q1</t>
  </si>
  <si>
    <t>GOVERN (GV)</t>
  </si>
  <si>
    <t>Organizational Context (GV.OC)</t>
  </si>
  <si>
    <t>1</t>
  </si>
  <si>
    <t>Cybersecurity Profiles</t>
  </si>
  <si>
    <t>Supplemental</t>
  </si>
  <si>
    <t>Primary</t>
  </si>
  <si>
    <t>Cybersecurity Governance</t>
  </si>
  <si>
    <t>Governance, Leadership &amp; Oversight</t>
  </si>
  <si>
    <t>How is cybersecurity governed? Who is accountable? Are roles documented?</t>
  </si>
  <si>
    <t>1, 3</t>
  </si>
  <si>
    <t>Cybersecurity Profiles; Roles &amp; Responsibilities</t>
  </si>
  <si>
    <t>Supporting</t>
  </si>
  <si>
    <t>Roles, Responsibilities, and Authorities (GV.RR)</t>
  </si>
  <si>
    <t>3</t>
  </si>
  <si>
    <t>Cybersecurity Roles &amp; Responsibilities</t>
  </si>
  <si>
    <t>Adequate resources are allocated commensurate with the cybersecurity risk strategy, roles and responsibilities, and policies</t>
  </si>
  <si>
    <t>3, 24</t>
  </si>
  <si>
    <t>Cybersecurity Roles &amp; Responsibilities; KSA (Training)</t>
  </si>
  <si>
    <t>Core</t>
  </si>
  <si>
    <t>Cybersecurity Governance; Security Training</t>
  </si>
  <si>
    <t>L-Q2  |  Governance, Leadership &amp; Oversight  |  "What policies exist? How are they maintained and communicated?"</t>
  </si>
  <si>
    <t>L-Q2</t>
  </si>
  <si>
    <t>Legal, regulatory, and contractual requirements regarding cybersecurity — including privacy and civil liberties obligations — are understood and managed</t>
  </si>
  <si>
    <t>1, 21</t>
  </si>
  <si>
    <t>Cybersecurity Profiles; Security &amp; Privacy Controls</t>
  </si>
  <si>
    <t>Cybersecurity Governance; Data Protection &amp; Privacy</t>
  </si>
  <si>
    <t>What policies exist? How are they maintained and communicated?</t>
  </si>
  <si>
    <t>Policy (GV.PO)</t>
  </si>
  <si>
    <t>2, 3</t>
  </si>
  <si>
    <t>Cybersecurity Risk Mgmt Strategy; Roles &amp; Responsibilities</t>
  </si>
  <si>
    <t>L-Q3  |  Governance, Leadership &amp; Oversight  |  "How does leadership review whether the approach is working?"</t>
  </si>
  <si>
    <t>L-Q3</t>
  </si>
  <si>
    <t>1, 33</t>
  </si>
  <si>
    <t>Cybersecurity Profiles; Business Impact Analyses</t>
  </si>
  <si>
    <t>Cybersecurity Governance; Contingency Planning</t>
  </si>
  <si>
    <t>How does leadership review whether the approach is working?</t>
  </si>
  <si>
    <t>Oversight (GV.OV)</t>
  </si>
  <si>
    <t>1, 2, 28</t>
  </si>
  <si>
    <t>Cybersecurity Profiles; Risk Mgmt Strategy</t>
  </si>
  <si>
    <t>1, 2</t>
  </si>
  <si>
    <t>L-Q4  |  Risk Management  |  "How is cybersecurity risk managed — strategy through resolution?"</t>
  </si>
  <si>
    <t>L-Q4</t>
  </si>
  <si>
    <t>Risk management objectives are established and expressed as statements of risk appetite and tolerance</t>
  </si>
  <si>
    <t>Risk Management Strategy (GV.RM)</t>
  </si>
  <si>
    <t>2</t>
  </si>
  <si>
    <t>Cybersecurity Risk Mgmt Strategy</t>
  </si>
  <si>
    <t>Risk Management</t>
  </si>
  <si>
    <t>How is cybersecurity risk managed — strategy through resolution?</t>
  </si>
  <si>
    <t>2, 12</t>
  </si>
  <si>
    <t>Cybersecurity Risk Mgmt Strategy; Enterprise View of Risk</t>
  </si>
  <si>
    <t>Cybersecurity Governance; Risk &amp; Asset Mgmt</t>
  </si>
  <si>
    <t>2, 5</t>
  </si>
  <si>
    <t>Cybersecurity Risk Mgmt Strategy; External Products &amp; Services</t>
  </si>
  <si>
    <t>Cybersecurity Governance; C-SCRM</t>
  </si>
  <si>
    <t>2, 11</t>
  </si>
  <si>
    <t>Cybersecurity Risk Mgmt Strategy; Info System Risk Governance</t>
  </si>
  <si>
    <t>L-Q5  |  Risk Management  |  "How do risk assessments work — threats, vulnerabilities, prioritization?"</t>
  </si>
  <si>
    <t>L-Q5</t>
  </si>
  <si>
    <t>IDENTIFY (ID)</t>
  </si>
  <si>
    <t>Risk Assessment (ID.RA)</t>
  </si>
  <si>
    <t>14, 15</t>
  </si>
  <si>
    <t>Secure Config Settings; Flaw Remediation</t>
  </si>
  <si>
    <t>Configuration Management</t>
  </si>
  <si>
    <t>How do risk assessments work — threats, vulnerabilities, prioritization?</t>
  </si>
  <si>
    <t>11, 26</t>
  </si>
  <si>
    <t>Info System Risk Governance; ISCM Strategy</t>
  </si>
  <si>
    <t>Risk &amp; Asset Mgmt; ISCM</t>
  </si>
  <si>
    <t>11</t>
  </si>
  <si>
    <t>Information System Risk Governance</t>
  </si>
  <si>
    <t>Risk &amp; Asset Management</t>
  </si>
  <si>
    <t>11, 33</t>
  </si>
  <si>
    <t>Info System Risk Governance; BIA</t>
  </si>
  <si>
    <t>Risk &amp; Asset Mgmt; Contingency Planning</t>
  </si>
  <si>
    <t>Threats, vulnerabilities, likelihoods, and impacts are used to understand risk and inform risk response prioritization</t>
  </si>
  <si>
    <t>11, 12</t>
  </si>
  <si>
    <t>Info System Risk Governance; Enterprise View of Risk</t>
  </si>
  <si>
    <t>11, 14</t>
  </si>
  <si>
    <t>Info System Risk Governance; Secure Config Settings</t>
  </si>
  <si>
    <t>Risk &amp; Asset Mgmt; Config Mgmt</t>
  </si>
  <si>
    <t>15</t>
  </si>
  <si>
    <t>Flaw Remediation</t>
  </si>
  <si>
    <t>L-Q6  |  Supply Chain &amp; Third-Party Risk  |  "How are vendor/supplier relationships managed for security?"</t>
  </si>
  <si>
    <t>L-Q6</t>
  </si>
  <si>
    <t>Supply Chain Risk Mgmt (GV.SC)</t>
  </si>
  <si>
    <t>5</t>
  </si>
  <si>
    <t>External Products, Components, Systems &amp; Services</t>
  </si>
  <si>
    <t>C-SCRM</t>
  </si>
  <si>
    <t>Supply Chain &amp; Third-Party Risk</t>
  </si>
  <si>
    <t>How are vendor/supplier relationships managed for security?</t>
  </si>
  <si>
    <t>5, 12</t>
  </si>
  <si>
    <t>External Products &amp; Services; Enterprise View of Risk</t>
  </si>
  <si>
    <t>C-SCRM; Risk &amp; Asset Mgmt</t>
  </si>
  <si>
    <t>Requirements to address cybersecurity risks in supply chains are established, prioritized, and integrated into contracts and other agreements with suppliers and other relevant third parties</t>
  </si>
  <si>
    <t>5, 30, 31</t>
  </si>
  <si>
    <t>External Products &amp; Services; Incident Detection; Incident Handling</t>
  </si>
  <si>
    <t>C-SCRM; Incident Response</t>
  </si>
  <si>
    <t>5, 14</t>
  </si>
  <si>
    <t>External Products &amp; Services; Secure Config Settings</t>
  </si>
  <si>
    <t>C-SCRM; Config Mgmt</t>
  </si>
  <si>
    <t>L-Q7  |  Asset &amp; Inventory Management  |  "How are hardware, software, data, and services tracked?"</t>
  </si>
  <si>
    <t>L-Q7</t>
  </si>
  <si>
    <t>Asset Management (ID.AM)</t>
  </si>
  <si>
    <t>8</t>
  </si>
  <si>
    <t>Hardware Management</t>
  </si>
  <si>
    <t>Asset &amp; Inventory Management</t>
  </si>
  <si>
    <t>How are hardware, software, data, and services tracked?</t>
  </si>
  <si>
    <t>9</t>
  </si>
  <si>
    <t>Software Management</t>
  </si>
  <si>
    <t>7</t>
  </si>
  <si>
    <t>Systems Inventory</t>
  </si>
  <si>
    <t>5, 7</t>
  </si>
  <si>
    <t>External Products &amp; Services; Systems Inventory</t>
  </si>
  <si>
    <t>Assets are prioritized based on classification, criticality, resources, and impact to the mission</t>
  </si>
  <si>
    <t>7, 10, 33</t>
  </si>
  <si>
    <t>Systems Inventory; Data Inventories; BIA</t>
  </si>
  <si>
    <t>Risk &amp; Asset Management; Contingency Planning</t>
  </si>
  <si>
    <t>10</t>
  </si>
  <si>
    <t>Data Inventories</t>
  </si>
  <si>
    <t>7, 8, 9</t>
  </si>
  <si>
    <t>Systems Inventory; Hardware Mgmt; Software Mgmt</t>
  </si>
  <si>
    <t>L-Q8  |  Access Control &amp; Identity Management  |  "How do people get access? MFA, privileged accounts, least privilege?"</t>
  </si>
  <si>
    <t>L-Q8</t>
  </si>
  <si>
    <t>PROTECT (PR)</t>
  </si>
  <si>
    <t>Identity Mgmt, Auth &amp; Access Control (PR.AA)</t>
  </si>
  <si>
    <t>17, 18, 19</t>
  </si>
  <si>
    <t>Non-priv User MFA; Priv User MFA; Least Privilege</t>
  </si>
  <si>
    <t>Identity &amp; Access Management</t>
  </si>
  <si>
    <t>Access Control &amp; Identity Management</t>
  </si>
  <si>
    <t>How do people get access? MFA, privileged accounts, least privilege?</t>
  </si>
  <si>
    <t>17, 18</t>
  </si>
  <si>
    <t>Non-priv User MFA; Priv User MFA</t>
  </si>
  <si>
    <t>19</t>
  </si>
  <si>
    <t>Least Privilege &amp; Separation of Duties</t>
  </si>
  <si>
    <t>L-Q9  |  Data Protection &amp; Privacy  |  "How is data protected at rest, in transit, in use? Backups?"</t>
  </si>
  <si>
    <t>L-Q9</t>
  </si>
  <si>
    <t>Data Security (PR.DS)</t>
  </si>
  <si>
    <t>21, 22</t>
  </si>
  <si>
    <t>Security &amp; Privacy Controls; Data Exfiltration Controls</t>
  </si>
  <si>
    <t>Data Protection &amp; Privacy</t>
  </si>
  <si>
    <t>How is data protected at rest, in transit, in use? Backups?</t>
  </si>
  <si>
    <t>21, 33</t>
  </si>
  <si>
    <t>Security &amp; Privacy Controls; BIA</t>
  </si>
  <si>
    <t>Data Protection &amp; Privacy; Contingency Planning</t>
  </si>
  <si>
    <t>L-Q10  |  Configuration &amp; Platform Security  |  "How is the system hardened, patched, and secured at the platform level?"</t>
  </si>
  <si>
    <t>L-Q10</t>
  </si>
  <si>
    <t>Technology Infrastructure Resilience (PR.IR)</t>
  </si>
  <si>
    <t>19, 22</t>
  </si>
  <si>
    <t>Least Privilege; Data Exfiltration Controls</t>
  </si>
  <si>
    <t>Identity &amp; Access Mgmt; Data Protection</t>
  </si>
  <si>
    <t>Configuration &amp; Platform Security</t>
  </si>
  <si>
    <t>How is the system hardened, patched, and secured at the platform level?</t>
  </si>
  <si>
    <t>The organization's technology assets are protected from environmental and other physical threats</t>
  </si>
  <si>
    <t>14</t>
  </si>
  <si>
    <t>Secure Configuration Settings</t>
  </si>
  <si>
    <t>33, 34</t>
  </si>
  <si>
    <t>BIA; Contingency Testing/Exercises</t>
  </si>
  <si>
    <t>Contingency Planning</t>
  </si>
  <si>
    <t>33</t>
  </si>
  <si>
    <t>Business Impact Analyses</t>
  </si>
  <si>
    <t>Platform Security (PR.PS)</t>
  </si>
  <si>
    <t>8, 14</t>
  </si>
  <si>
    <t>Hardware Mgmt; Secure Config Settings</t>
  </si>
  <si>
    <t>26, 27</t>
  </si>
  <si>
    <t>ISCM Strategy; Asset Integrity &amp; Security Posture Monitoring</t>
  </si>
  <si>
    <t>ISCM</t>
  </si>
  <si>
    <t>9, 14</t>
  </si>
  <si>
    <t>Software Mgmt; Secure Config Settings</t>
  </si>
  <si>
    <t>L-Q11  |  Training &amp; Workforce Development  |  "How are users and security staff trained?"</t>
  </si>
  <si>
    <t>L-Q11</t>
  </si>
  <si>
    <t>Personnel are provided cybersecurity awareness and training so that they can perform their cybersecurity-related tasks</t>
  </si>
  <si>
    <t>Awareness and Training (PR.AT)</t>
  </si>
  <si>
    <t>24</t>
  </si>
  <si>
    <t>Knowledge, Skills, and Abilities (Training)</t>
  </si>
  <si>
    <t>Security Training</t>
  </si>
  <si>
    <t>Training &amp; Workforce Development</t>
  </si>
  <si>
    <t>How are users and security staff trained?</t>
  </si>
  <si>
    <t>Individuals in specialized roles are provided cybersecurity awareness and training so that they possess the knowledge and skills to perform relevant tasks</t>
  </si>
  <si>
    <t>L-Q12  |  Monitoring &amp; Detection  |  "How is the system monitored? How do alerts get triaged?"</t>
  </si>
  <si>
    <t>L-Q12</t>
  </si>
  <si>
    <t>DETECT (DE)</t>
  </si>
  <si>
    <t>Adverse Event Analysis (DE.AE)</t>
  </si>
  <si>
    <t>26, 30</t>
  </si>
  <si>
    <t>ISCM Strategy; Incident Detection &amp; Analysis</t>
  </si>
  <si>
    <t>ISCM; Incident Response</t>
  </si>
  <si>
    <t>Monitoring &amp; Detection</t>
  </si>
  <si>
    <t>How is the system monitored? How do alerts get triaged?</t>
  </si>
  <si>
    <t>30</t>
  </si>
  <si>
    <t>Incident Detection &amp; Analysis</t>
  </si>
  <si>
    <t>Incident Response</t>
  </si>
  <si>
    <t>26</t>
  </si>
  <si>
    <t>ISCM Strategy</t>
  </si>
  <si>
    <t>Continuous Monitoring (DE.CM)</t>
  </si>
  <si>
    <t>26, 27, 28</t>
  </si>
  <si>
    <t>22, 26</t>
  </si>
  <si>
    <t>Data Exfiltration Controls; ISCM Strategy</t>
  </si>
  <si>
    <t>Data Protection &amp; Privacy; ISCM</t>
  </si>
  <si>
    <t>5, 26</t>
  </si>
  <si>
    <t>External Products &amp; Services; ISCM Strategy</t>
  </si>
  <si>
    <t>C-SCRM; ISCM</t>
  </si>
  <si>
    <t>14, 26, 27, 28</t>
  </si>
  <si>
    <t>Secure Config; ISCM Strategy; Asset Integrity</t>
  </si>
  <si>
    <t>Config Mgmt; ISCM</t>
  </si>
  <si>
    <t>L-Q13  |  Incident Response  |  "What happens when an incident is declared? Containment through notification?"</t>
  </si>
  <si>
    <t>L-Q13</t>
  </si>
  <si>
    <t>Analysis is performed to determine what has taken place during an incident and the root cause of the incident</t>
  </si>
  <si>
    <t>RESPOND (RS)</t>
  </si>
  <si>
    <t>Incident Analysis (RS.AN)</t>
  </si>
  <si>
    <t>30, 31</t>
  </si>
  <si>
    <t>Incident Detection &amp; Analysis; Incident Handling</t>
  </si>
  <si>
    <t>What happens when an incident is declared? Containment through notification?</t>
  </si>
  <si>
    <t>Incident Response Reporting &amp; Communication (RS.CO)</t>
  </si>
  <si>
    <t>31</t>
  </si>
  <si>
    <t>Incident Handling</t>
  </si>
  <si>
    <t>The incident response plan is executed in coordination with relevant third parties once an incident is declared or detected</t>
  </si>
  <si>
    <t>Incident Management (RS.MA)</t>
  </si>
  <si>
    <t>31, 34</t>
  </si>
  <si>
    <t>Incident Handling; Contingency Testing</t>
  </si>
  <si>
    <t>Incident Response; Contingency Planning</t>
  </si>
  <si>
    <t>Incident Mitigation (RS.MI)</t>
  </si>
  <si>
    <t>L-Q14  |  Recovery &amp; Continuity  |  "How is the system recovered after an incident or outage?"</t>
  </si>
  <si>
    <t>L-Q14</t>
  </si>
  <si>
    <t>RECOVER (RC)</t>
  </si>
  <si>
    <t>Incident Recovery Communication (RC.CO)</t>
  </si>
  <si>
    <t>Recovery &amp; Continuity</t>
  </si>
  <si>
    <t>How is the system recovered after an incident or outage?</t>
  </si>
  <si>
    <t>Incident Recovery Plan Execution (RC.RP)</t>
  </si>
  <si>
    <t>34</t>
  </si>
  <si>
    <t>Contingency Testing/Exercises</t>
  </si>
  <si>
    <t>L-Q15  |  Continuous Improvement  |  "How does the org learn and improve over time?"</t>
  </si>
  <si>
    <t>L-Q15</t>
  </si>
  <si>
    <t>Improvement (ID.IM)</t>
  </si>
  <si>
    <t>1, 12</t>
  </si>
  <si>
    <t>Cybersecurity Profiles; Enterprise View of Risk</t>
  </si>
  <si>
    <t>Continuous Improvement</t>
  </si>
  <si>
    <t>How does the org learn and improve over time?</t>
  </si>
  <si>
    <t>Improvements are identified from security tests and exercises, including those done in coordination with suppliers and other third parties</t>
  </si>
  <si>
    <t>26, 31</t>
  </si>
  <si>
    <t>ISCM Strategy; Incident Handling</t>
  </si>
  <si>
    <t>30, 31, 34</t>
  </si>
  <si>
    <t>Incident Detection; Incident Handling; Contingency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</si>
</sst>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
    </font>
    <font>
      <i/>
      <sz val="9"/>
      <color rgb="FF666666"/>
      <name val="Arial"/>
      <family val="2"/>
    </font>
    <font>
      <b/>
      <sz val="10"/>
      <color rgb="FFFFFFFF"/>
      <name val="Arial"/>
      <family val="2"/>
    </font>
    <font>
      <b/>
      <sz val="11"/>
      <color rgb="FFFFFFFF"/>
      <name val="Arial"/>
      <family val="2"/>
    </font>
    <font>
      <b/>
      <sz val="10"/>
      <color rgb="FF1F4E79"/>
      <name val="Arial"/>
      <family val="2"/>
    </font>
    <font>
      <b/>
      <sz val="9"/>
      <name val="Arial"/>
      <family val="2"/>
    </font>
    <font>
      <sz val="9"/>
      <name val="Arial"/>
      <family val="2"/>
    </font>
    <font>
      <b/>
      <sz val="13"/>
      <name val="Arial"/>
      <family val="2"/>
    </font>
    <font>
      <b/>
      <sz val="9"/>
      <color rgb="FF006100"/>
      <name val="Arial"/>
      <family val="2"/>
    </font>
    <font>
      <sz val="9"/>
      <color rgb="FF9C6500"/>
      <name val="Arial"/>
      <family val="2"/>
    </font>
    <font>
      <b/>
      <sz val="13"/>
      <color rgb="FF2E75B6"/>
      <name val="Arial"/>
      <family val="2"/>
    </font>
    <font>
      <b/>
      <sz val="16"/>
      <color theme="0"/>
      <name val="Calibri"/>
      <family val="2"/>
    </font>
    <font>
      <b/>
      <sz val="12"/>
      <color theme="0"/>
      <name val="Arial"/>
      <family val="2"/>
    </font>
    <font>
      <b/>
      <sz val="11"/>
      <color theme="1"/>
      <name val="Calibri"/>
      <family val="2"/>
    </font>
    <font>
      <b/>
      <sz val="9"/>
      <color rgb="FFFFFFFF"/>
      <name val="Arial"/>
      <family val="2"/>
    </font>
    <font>
      <sz val="9"/>
      <color theme="1"/>
      <name val="Calibri"/>
      <family val="2"/>
      <charset val="1"/>
    </font>
    <font>
      <b/>
      <sz val="8"/>
      <color rgb="FFFFFFFF"/>
      <name val="Arial"/>
      <family val="2"/>
    </font>
    <font>
      <sz val="8"/>
      <color rgb="FF9C6500"/>
      <name val="Arial"/>
      <family val="2"/>
    </font>
    <font>
      <b/>
      <sz val="8"/>
      <color rgb="FF006100"/>
      <name val="Arial"/>
      <family val="2"/>
    </font>
    <font>
      <sz val="8"/>
      <color theme="1"/>
      <name val="Calibri"/>
      <family val="2"/>
      <charset val="1"/>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C6EFCE"/>
      </patternFill>
    </fill>
    <fill>
      <patternFill patternType="solid">
        <fgColor rgb="FFFFFFF0"/>
        <bgColor rgb="FFFFFFFF"/>
      </patternFill>
    </fill>
    <fill>
      <patternFill patternType="solid">
        <fgColor rgb="FFF7F9FC"/>
        <bgColor rgb="FFFFFFFF"/>
      </patternFill>
    </fill>
    <fill>
      <patternFill patternType="solid">
        <fgColor rgb="FF1F4E79"/>
      </patternFill>
    </fill>
    <fill>
      <patternFill patternType="solid">
        <fgColor rgb="FF2E75B6"/>
      </patternFill>
    </fill>
    <fill>
      <patternFill patternType="solid">
        <fgColor rgb="FFC6EFCE"/>
      </patternFill>
    </fill>
    <fill>
      <patternFill patternType="solid">
        <fgColor rgb="FFFFEB9C"/>
      </patternFill>
    </fill>
    <fill>
      <patternFill patternType="solid">
        <fgColor rgb="FFF7F9FC"/>
      </patternFill>
    </fill>
    <fill>
      <patternFill patternType="solid">
        <fgColor theme="1"/>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4" fillId="0" borderId="0" xfId="0" applyFont="1"/>
    <xf numFmtId="0" fontId="5" fillId="0" borderId="0" xfId="0" applyFont="1"/>
    <xf numFmtId="0" fontId="1" fillId="0" borderId="0" xfId="0" applyFont="1"/>
    <xf numFmtId="0" fontId="9" fillId="10" borderId="1" xfId="0" applyFont="1" applyFill="1" applyBorder="1" applyAlignment="1">
      <alignment vertical="top" wrapText="1"/>
    </xf>
    <xf numFmtId="0" fontId="8" fillId="9" borderId="1" xfId="0" applyFont="1" applyFill="1" applyBorder="1" applyAlignment="1">
      <alignment vertical="top" wrapText="1"/>
    </xf>
    <xf numFmtId="0" fontId="0" fillId="0" borderId="0" xfId="0"/>
    <xf numFmtId="0" fontId="11" fillId="12" borderId="4" xfId="0" applyFont="1" applyFill="1" applyBorder="1" applyAlignment="1">
      <alignment wrapText="1"/>
    </xf>
    <xf numFmtId="0" fontId="0" fillId="12" borderId="4" xfId="0" applyFill="1" applyBorder="1"/>
    <xf numFmtId="0" fontId="12" fillId="12" borderId="4" xfId="0" applyFont="1" applyFill="1" applyBorder="1" applyAlignment="1">
      <alignment vertical="top" wrapText="1"/>
    </xf>
    <xf numFmtId="0" fontId="13" fillId="0" borderId="4" xfId="0" applyFont="1" applyBorder="1" applyAlignment="1">
      <alignment horizontal="left" vertical="top" wrapText="1"/>
    </xf>
    <xf numFmtId="0" fontId="13" fillId="0" borderId="4" xfId="0" applyFont="1" applyBorder="1" applyAlignment="1">
      <alignment vertical="top" wrapText="1"/>
    </xf>
    <xf numFmtId="0" fontId="0" fillId="0" borderId="4" xfId="0" applyBorder="1" applyAlignment="1">
      <alignment vertical="top" wrapText="1"/>
    </xf>
    <xf numFmtId="0" fontId="0" fillId="0" borderId="4" xfId="0" applyBorder="1" applyAlignment="1">
      <alignment horizontal="left" vertical="top" wrapText="1"/>
    </xf>
    <xf numFmtId="0" fontId="13" fillId="0" borderId="4" xfId="0" applyFont="1" applyBorder="1" applyAlignment="1">
      <alignment wrapText="1"/>
    </xf>
    <xf numFmtId="0" fontId="0" fillId="0" borderId="4" xfId="0" applyBorder="1"/>
    <xf numFmtId="0" fontId="14" fillId="7" borderId="1" xfId="0" applyFont="1" applyFill="1" applyBorder="1" applyAlignment="1">
      <alignment horizontal="center" vertical="top" wrapText="1"/>
    </xf>
    <xf numFmtId="0" fontId="15" fillId="0" borderId="0" xfId="0" applyFont="1"/>
    <xf numFmtId="0" fontId="16" fillId="7" borderId="1" xfId="0" applyFont="1" applyFill="1" applyBorder="1" applyAlignment="1">
      <alignment horizontal="center" vertical="top" wrapText="1"/>
    </xf>
    <xf numFmtId="0" fontId="17" fillId="10" borderId="1" xfId="0" applyFont="1" applyFill="1" applyBorder="1" applyAlignment="1">
      <alignment vertical="top" wrapText="1"/>
    </xf>
    <xf numFmtId="0" fontId="18" fillId="9" borderId="1" xfId="0" applyFont="1" applyFill="1" applyBorder="1" applyAlignment="1">
      <alignment vertical="top" wrapText="1"/>
    </xf>
    <xf numFmtId="0" fontId="19" fillId="0" borderId="0" xfId="0" applyFont="1"/>
    <xf numFmtId="0" fontId="0" fillId="0" borderId="0" xfId="0"/>
    <xf numFmtId="0" fontId="10" fillId="0" borderId="0" xfId="0" applyFont="1" applyAlignment="1"/>
    <xf numFmtId="0" fontId="0" fillId="0" borderId="0" xfId="0" applyAlignment="1"/>
    <xf numFmtId="0" fontId="2" fillId="2" borderId="1" xfId="0" applyFont="1" applyFill="1" applyBorder="1" applyAlignment="1">
      <alignment horizontal="center" vertical="top" wrapText="1"/>
    </xf>
    <xf numFmtId="0" fontId="3" fillId="3" borderId="1" xfId="0" applyFont="1" applyFill="1" applyBorder="1"/>
    <xf numFmtId="0" fontId="3" fillId="3" borderId="1" xfId="0" applyFont="1" applyFill="1" applyBorder="1" applyAlignment="1">
      <alignment vertical="top" wrapText="1"/>
    </xf>
    <xf numFmtId="0" fontId="0" fillId="3" borderId="1" xfId="0" applyFill="1" applyBorder="1"/>
    <xf numFmtId="0" fontId="4" fillId="4" borderId="1" xfId="0" applyFont="1" applyFill="1" applyBorder="1"/>
    <xf numFmtId="0" fontId="4" fillId="4" borderId="1" xfId="0" applyFont="1" applyFill="1" applyBorder="1" applyAlignment="1">
      <alignment vertical="top" wrapText="1"/>
    </xf>
    <xf numFmtId="0" fontId="0" fillId="4" borderId="1" xfId="0" applyFill="1" applyBorder="1"/>
    <xf numFmtId="0" fontId="5" fillId="0" borderId="1" xfId="0" applyFont="1" applyBorder="1"/>
    <xf numFmtId="0" fontId="6" fillId="0" borderId="1" xfId="0" applyFont="1" applyBorder="1" applyAlignment="1">
      <alignmen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vertical="top" wrapText="1"/>
    </xf>
    <xf numFmtId="0" fontId="6" fillId="0" borderId="1" xfId="0" applyFont="1" applyBorder="1" applyAlignment="1">
      <alignment horizontal="center" vertical="top" wrapText="1"/>
    </xf>
    <xf numFmtId="0" fontId="5" fillId="6" borderId="1" xfId="0" applyFont="1" applyFill="1" applyBorder="1"/>
    <xf numFmtId="0" fontId="6" fillId="6" borderId="1" xfId="0" applyFont="1" applyFill="1" applyBorder="1" applyAlignment="1">
      <alignment vertical="top" wrapText="1"/>
    </xf>
    <xf numFmtId="0" fontId="7" fillId="0" borderId="0" xfId="0" applyFont="1" applyAlignment="1"/>
    <xf numFmtId="0" fontId="19" fillId="0" borderId="0" xfId="0" applyFont="1" applyAlignment="1"/>
    <xf numFmtId="0" fontId="15" fillId="0" borderId="0" xfId="0" applyFont="1" applyAlignment="1"/>
    <xf numFmtId="0" fontId="2" fillId="7" borderId="1" xfId="0" applyFont="1" applyFill="1" applyBorder="1" applyAlignment="1">
      <alignment horizontal="center" vertical="top" wrapText="1"/>
    </xf>
    <xf numFmtId="0" fontId="2" fillId="8" borderId="1" xfId="0" applyFont="1" applyFill="1" applyBorder="1" applyAlignment="1">
      <alignment vertical="top" wrapText="1"/>
    </xf>
    <xf numFmtId="0" fontId="0" fillId="0" borderId="2" xfId="0" applyBorder="1" applyAlignment="1"/>
    <xf numFmtId="0" fontId="0" fillId="0" borderId="3" xfId="0" applyBorder="1" applyAlignment="1"/>
    <xf numFmtId="0" fontId="6" fillId="11"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FBFBF"/>
      <rgbColor rgb="FF808080"/>
      <rgbColor rgb="FF9999FF"/>
      <rgbColor rgb="FF993366"/>
      <rgbColor rgb="FFFFFFF0"/>
      <rgbColor rgb="FFF7F9FC"/>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election activeCell="A7" sqref="A7"/>
    </sheetView>
  </sheetViews>
  <sheetFormatPr defaultColWidth="58.28515625" defaultRowHeight="15"/>
  <cols>
    <col min="1" max="1" width="75.140625" style="6" customWidth="1"/>
    <col min="2" max="2" width="14.140625" style="6" customWidth="1"/>
    <col min="3" max="3" width="82.85546875" style="6" customWidth="1"/>
  </cols>
  <sheetData>
    <row r="1" spans="1:3" ht="21" customHeight="1">
      <c r="A1" s="7" t="s">
        <v>0</v>
      </c>
      <c r="B1" s="8"/>
      <c r="C1" s="9" t="s">
        <v>1</v>
      </c>
    </row>
    <row r="2" spans="1:3" ht="45" customHeight="1">
      <c r="A2" s="10" t="s">
        <v>2</v>
      </c>
      <c r="B2" s="8"/>
      <c r="C2" s="11" t="s">
        <v>3</v>
      </c>
    </row>
    <row r="3" spans="1:3" ht="30" customHeight="1">
      <c r="A3" s="10" t="s">
        <v>4</v>
      </c>
      <c r="B3" s="8"/>
      <c r="C3" s="12" t="s">
        <v>5</v>
      </c>
    </row>
    <row r="4" spans="1:3" ht="30" customHeight="1">
      <c r="A4" s="13" t="s">
        <v>6</v>
      </c>
      <c r="B4" s="8"/>
      <c r="C4" s="11" t="s">
        <v>7</v>
      </c>
    </row>
    <row r="5" spans="1:3" ht="45" customHeight="1">
      <c r="A5" s="13" t="s">
        <v>8</v>
      </c>
      <c r="B5" s="8"/>
      <c r="C5" s="12" t="s">
        <v>9</v>
      </c>
    </row>
    <row r="6" spans="1:3">
      <c r="A6" s="13" t="s">
        <v>10</v>
      </c>
      <c r="B6" s="8"/>
      <c r="C6" s="11" t="s">
        <v>11</v>
      </c>
    </row>
    <row r="7" spans="1:3">
      <c r="A7" s="10" t="s">
        <v>12</v>
      </c>
      <c r="B7" s="8"/>
      <c r="C7" s="12" t="s">
        <v>13</v>
      </c>
    </row>
    <row r="8" spans="1:3">
      <c r="A8" s="13" t="s">
        <v>14</v>
      </c>
      <c r="B8" s="8"/>
      <c r="C8" s="11" t="s">
        <v>15</v>
      </c>
    </row>
    <row r="9" spans="1:3">
      <c r="A9" s="13" t="s">
        <v>16</v>
      </c>
      <c r="B9" s="8"/>
      <c r="C9" s="12" t="s">
        <v>17</v>
      </c>
    </row>
    <row r="10" spans="1:3">
      <c r="A10" s="13" t="s">
        <v>18</v>
      </c>
      <c r="B10" s="8"/>
      <c r="C10" s="11" t="s">
        <v>19</v>
      </c>
    </row>
    <row r="11" spans="1:3" ht="30" customHeight="1">
      <c r="A11" s="13" t="s">
        <v>20</v>
      </c>
      <c r="B11" s="8"/>
      <c r="C11" s="12" t="s">
        <v>21</v>
      </c>
    </row>
    <row r="12" spans="1:3">
      <c r="A12" s="10" t="s">
        <v>22</v>
      </c>
      <c r="B12" s="8"/>
      <c r="C12" s="11" t="s">
        <v>23</v>
      </c>
    </row>
    <row r="13" spans="1:3" ht="30" customHeight="1">
      <c r="A13" s="13" t="s">
        <v>24</v>
      </c>
      <c r="B13" s="8"/>
      <c r="C13" s="12" t="s">
        <v>25</v>
      </c>
    </row>
    <row r="14" spans="1:3" ht="30" customHeight="1">
      <c r="A14" s="13" t="s">
        <v>26</v>
      </c>
      <c r="B14" s="8"/>
      <c r="C14" s="11" t="s">
        <v>27</v>
      </c>
    </row>
    <row r="15" spans="1:3" ht="30" customHeight="1">
      <c r="A15" s="10" t="s">
        <v>28</v>
      </c>
      <c r="B15" s="8"/>
      <c r="C15" s="14"/>
    </row>
    <row r="16" spans="1:3" ht="30" customHeight="1">
      <c r="A16" s="13" t="s">
        <v>29</v>
      </c>
      <c r="B16" s="8"/>
      <c r="C16" s="15"/>
    </row>
    <row r="17" spans="1:3" ht="30" customHeight="1">
      <c r="A17" s="13" t="s">
        <v>30</v>
      </c>
      <c r="B17" s="8"/>
      <c r="C17" s="15"/>
    </row>
    <row r="18" spans="1:3">
      <c r="A18" s="13" t="s">
        <v>31</v>
      </c>
      <c r="B18" s="8"/>
      <c r="C18" s="15"/>
    </row>
    <row r="19" spans="1:3" ht="45" customHeight="1">
      <c r="A19" s="13" t="s">
        <v>32</v>
      </c>
      <c r="B19" s="8"/>
      <c r="C19"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6"/>
  <sheetViews>
    <sheetView zoomScaleNormal="100" workbookViewId="0">
      <pane ySplit="2" topLeftCell="A21" activePane="bottomLeft" state="frozen"/>
      <selection pane="bottomLeft" activeCell="D5" sqref="D5"/>
    </sheetView>
  </sheetViews>
  <sheetFormatPr defaultColWidth="8.7109375" defaultRowHeight="75" customHeight="1"/>
  <cols>
    <col min="1" max="1" width="24.85546875" style="6" bestFit="1" customWidth="1"/>
    <col min="2" max="2" width="45" style="6" customWidth="1"/>
    <col min="3" max="3" width="9" style="6" customWidth="1"/>
    <col min="4" max="4" width="64.28515625" style="6" customWidth="1"/>
    <col min="5" max="5" width="46.28515625" style="6" customWidth="1"/>
    <col min="6" max="7" width="10" style="6" customWidth="1"/>
    <col min="8" max="8" width="7" style="6" customWidth="1"/>
    <col min="9" max="9" width="50.28515625" style="6" customWidth="1"/>
  </cols>
  <sheetData>
    <row r="1" spans="1:9" ht="16.5" customHeight="1">
      <c r="A1" s="23" t="s">
        <v>33</v>
      </c>
      <c r="B1" s="24"/>
      <c r="C1" s="24"/>
      <c r="D1" s="24"/>
      <c r="E1" s="24"/>
      <c r="F1" s="24"/>
      <c r="G1" s="24"/>
      <c r="H1" s="24"/>
      <c r="I1" s="24"/>
    </row>
    <row r="2" spans="1:9" ht="75" customHeight="1">
      <c r="A2" s="25" t="s">
        <v>34</v>
      </c>
      <c r="B2" s="25" t="s">
        <v>35</v>
      </c>
      <c r="C2" s="25" t="s">
        <v>36</v>
      </c>
      <c r="D2" s="25" t="s">
        <v>37</v>
      </c>
      <c r="E2" s="25" t="s">
        <v>38</v>
      </c>
      <c r="F2" s="25" t="s">
        <v>39</v>
      </c>
      <c r="G2" s="25" t="s">
        <v>40</v>
      </c>
      <c r="H2" s="25" t="s">
        <v>41</v>
      </c>
      <c r="I2" s="25" t="s">
        <v>42</v>
      </c>
    </row>
    <row r="3" spans="1:9" ht="75" customHeight="1">
      <c r="A3" s="26" t="s">
        <v>43</v>
      </c>
      <c r="B3" s="27" t="s">
        <v>44</v>
      </c>
      <c r="C3" s="28"/>
      <c r="D3" s="28"/>
      <c r="E3" s="28"/>
      <c r="F3" s="28"/>
      <c r="G3" s="28"/>
      <c r="H3" s="28"/>
      <c r="I3" s="28"/>
    </row>
    <row r="4" spans="1:9" ht="75" customHeight="1">
      <c r="A4" s="29" t="s">
        <v>45</v>
      </c>
      <c r="B4" s="30" t="s">
        <v>46</v>
      </c>
      <c r="C4" s="31"/>
      <c r="D4" s="31"/>
      <c r="E4" s="31"/>
      <c r="F4" s="31"/>
      <c r="G4" s="31"/>
      <c r="H4" s="31"/>
      <c r="I4" s="31"/>
    </row>
    <row r="5" spans="1:9" ht="75" customHeight="1">
      <c r="A5" s="32" t="s">
        <v>47</v>
      </c>
      <c r="B5" s="33" t="s">
        <v>48</v>
      </c>
      <c r="C5" s="34" t="s">
        <v>49</v>
      </c>
      <c r="D5" s="35"/>
      <c r="E5" s="35"/>
      <c r="F5" s="34"/>
      <c r="G5" s="34"/>
      <c r="H5" s="36" t="str">
        <f>IF(AND(F5&lt;&gt;"",G5&lt;&gt;""),IF(LEFT(F5,1)*1&lt;LEFT(G5,1)*1,"GAP","OK"),"")</f>
        <v/>
      </c>
      <c r="I5" s="33"/>
    </row>
    <row r="6" spans="1:9" ht="75" customHeight="1">
      <c r="A6" s="37" t="s">
        <v>50</v>
      </c>
      <c r="B6" s="38" t="s">
        <v>51</v>
      </c>
      <c r="C6" s="34" t="s">
        <v>49</v>
      </c>
      <c r="D6" s="35"/>
      <c r="E6" s="35"/>
      <c r="F6" s="34"/>
      <c r="G6" s="34"/>
      <c r="H6" s="36" t="str">
        <f>IF(AND(F6&lt;&gt;"",G6&lt;&gt;""),IF(LEFT(F6,1)*1&lt;LEFT(G6,1)*1,"GAP","OK"),"")</f>
        <v/>
      </c>
      <c r="I6" s="38"/>
    </row>
    <row r="7" spans="1:9" ht="75" customHeight="1">
      <c r="A7" s="32" t="s">
        <v>52</v>
      </c>
      <c r="B7" s="33" t="s">
        <v>53</v>
      </c>
      <c r="C7" s="34" t="s">
        <v>49</v>
      </c>
      <c r="D7" s="35"/>
      <c r="E7" s="35"/>
      <c r="F7" s="34"/>
      <c r="G7" s="34"/>
      <c r="H7" s="36" t="str">
        <f>IF(AND(F7&lt;&gt;"",G7&lt;&gt;""),IF(LEFT(F7,1)*1&lt;LEFT(G7,1)*1,"GAP","OK"),"")</f>
        <v/>
      </c>
      <c r="I7" s="33"/>
    </row>
    <row r="8" spans="1:9" ht="75" customHeight="1">
      <c r="A8" s="37" t="s">
        <v>54</v>
      </c>
      <c r="B8" s="38" t="s">
        <v>55</v>
      </c>
      <c r="C8" s="34" t="s">
        <v>49</v>
      </c>
      <c r="D8" s="35"/>
      <c r="E8" s="35"/>
      <c r="F8" s="34"/>
      <c r="G8" s="34"/>
      <c r="H8" s="36" t="str">
        <f>IF(AND(F8&lt;&gt;"",G8&lt;&gt;""),IF(LEFT(F8,1)*1&lt;LEFT(G8,1)*1,"GAP","OK"),"")</f>
        <v/>
      </c>
      <c r="I8" s="38"/>
    </row>
    <row r="9" spans="1:9" ht="75" customHeight="1">
      <c r="A9" s="32" t="s">
        <v>56</v>
      </c>
      <c r="B9" s="33" t="s">
        <v>57</v>
      </c>
      <c r="C9" s="34" t="s">
        <v>49</v>
      </c>
      <c r="D9" s="35"/>
      <c r="E9" s="35"/>
      <c r="F9" s="34"/>
      <c r="G9" s="34"/>
      <c r="H9" s="36" t="str">
        <f>IF(AND(F9&lt;&gt;"",G9&lt;&gt;""),IF(LEFT(F9,1)*1&lt;LEFT(G9,1)*1,"GAP","OK"),"")</f>
        <v/>
      </c>
      <c r="I9" s="33"/>
    </row>
    <row r="10" spans="1:9" ht="75" customHeight="1">
      <c r="A10" s="29" t="s">
        <v>58</v>
      </c>
      <c r="B10" s="30" t="s">
        <v>59</v>
      </c>
      <c r="C10" s="31"/>
      <c r="D10" s="31"/>
      <c r="E10" s="31"/>
      <c r="F10" s="31"/>
      <c r="G10" s="31"/>
      <c r="H10" s="31"/>
      <c r="I10" s="31"/>
    </row>
    <row r="11" spans="1:9" ht="75" customHeight="1">
      <c r="A11" s="32" t="s">
        <v>60</v>
      </c>
      <c r="B11" s="33" t="s">
        <v>61</v>
      </c>
      <c r="C11" s="34" t="s">
        <v>49</v>
      </c>
      <c r="D11" s="35"/>
      <c r="E11" s="35"/>
      <c r="F11" s="34"/>
      <c r="G11" s="34"/>
      <c r="H11" s="36" t="str">
        <f t="shared" ref="H11:H17" si="0">IF(AND(F11&lt;&gt;"",G11&lt;&gt;""),IF(LEFT(F11,1)*1&lt;LEFT(G11,1)*1,"GAP","OK"),"")</f>
        <v/>
      </c>
      <c r="I11" s="33"/>
    </row>
    <row r="12" spans="1:9" ht="75" customHeight="1">
      <c r="A12" s="37" t="s">
        <v>62</v>
      </c>
      <c r="B12" s="38" t="s">
        <v>63</v>
      </c>
      <c r="C12" s="34" t="s">
        <v>49</v>
      </c>
      <c r="D12" s="35"/>
      <c r="E12" s="35"/>
      <c r="F12" s="34"/>
      <c r="G12" s="34"/>
      <c r="H12" s="36" t="str">
        <f t="shared" si="0"/>
        <v/>
      </c>
      <c r="I12" s="38"/>
    </row>
    <row r="13" spans="1:9" ht="75" customHeight="1">
      <c r="A13" s="32" t="s">
        <v>64</v>
      </c>
      <c r="B13" s="33" t="s">
        <v>65</v>
      </c>
      <c r="C13" s="34" t="s">
        <v>49</v>
      </c>
      <c r="D13" s="35"/>
      <c r="E13" s="35"/>
      <c r="F13" s="34"/>
      <c r="G13" s="34"/>
      <c r="H13" s="36" t="str">
        <f t="shared" si="0"/>
        <v/>
      </c>
      <c r="I13" s="33"/>
    </row>
    <row r="14" spans="1:9" ht="75" customHeight="1">
      <c r="A14" s="37" t="s">
        <v>66</v>
      </c>
      <c r="B14" s="38" t="s">
        <v>67</v>
      </c>
      <c r="C14" s="34" t="s">
        <v>49</v>
      </c>
      <c r="D14" s="35"/>
      <c r="E14" s="35"/>
      <c r="F14" s="34"/>
      <c r="G14" s="34"/>
      <c r="H14" s="36" t="str">
        <f t="shared" si="0"/>
        <v/>
      </c>
      <c r="I14" s="38"/>
    </row>
    <row r="15" spans="1:9" ht="75" customHeight="1">
      <c r="A15" s="32" t="s">
        <v>68</v>
      </c>
      <c r="B15" s="33" t="s">
        <v>69</v>
      </c>
      <c r="C15" s="34" t="s">
        <v>49</v>
      </c>
      <c r="D15" s="35"/>
      <c r="E15" s="35"/>
      <c r="F15" s="34"/>
      <c r="G15" s="34"/>
      <c r="H15" s="36" t="str">
        <f t="shared" si="0"/>
        <v/>
      </c>
      <c r="I15" s="33"/>
    </row>
    <row r="16" spans="1:9" ht="75" customHeight="1">
      <c r="A16" s="37" t="s">
        <v>70</v>
      </c>
      <c r="B16" s="38" t="s">
        <v>71</v>
      </c>
      <c r="C16" s="34" t="s">
        <v>49</v>
      </c>
      <c r="D16" s="35"/>
      <c r="E16" s="35"/>
      <c r="F16" s="34"/>
      <c r="G16" s="34"/>
      <c r="H16" s="36" t="str">
        <f t="shared" si="0"/>
        <v/>
      </c>
      <c r="I16" s="38"/>
    </row>
    <row r="17" spans="1:9" ht="75" customHeight="1">
      <c r="A17" s="32" t="s">
        <v>72</v>
      </c>
      <c r="B17" s="33" t="s">
        <v>73</v>
      </c>
      <c r="C17" s="34" t="s">
        <v>49</v>
      </c>
      <c r="D17" s="35"/>
      <c r="E17" s="35"/>
      <c r="F17" s="34"/>
      <c r="G17" s="34"/>
      <c r="H17" s="36" t="str">
        <f t="shared" si="0"/>
        <v/>
      </c>
      <c r="I17" s="33"/>
    </row>
    <row r="18" spans="1:9" ht="75" customHeight="1">
      <c r="A18" s="29" t="s">
        <v>74</v>
      </c>
      <c r="B18" s="30" t="s">
        <v>75</v>
      </c>
      <c r="C18" s="31"/>
      <c r="D18" s="31"/>
      <c r="E18" s="31"/>
      <c r="F18" s="31"/>
      <c r="G18" s="31"/>
      <c r="H18" s="31"/>
      <c r="I18" s="31"/>
    </row>
    <row r="19" spans="1:9" ht="75" customHeight="1">
      <c r="A19" s="32" t="s">
        <v>76</v>
      </c>
      <c r="B19" s="33" t="s">
        <v>77</v>
      </c>
      <c r="C19" s="34" t="s">
        <v>49</v>
      </c>
      <c r="D19" s="35"/>
      <c r="E19" s="35"/>
      <c r="F19" s="34"/>
      <c r="G19" s="34"/>
      <c r="H19" s="36" t="str">
        <f>IF(AND(F19&lt;&gt;"",G19&lt;&gt;""),IF(LEFT(F19,1)*1&lt;LEFT(G19,1)*1,"GAP","OK"),"")</f>
        <v/>
      </c>
      <c r="I19" s="33"/>
    </row>
    <row r="20" spans="1:9" ht="75" customHeight="1">
      <c r="A20" s="37" t="s">
        <v>78</v>
      </c>
      <c r="B20" s="38" t="s">
        <v>79</v>
      </c>
      <c r="C20" s="34" t="s">
        <v>49</v>
      </c>
      <c r="D20" s="35"/>
      <c r="E20" s="35"/>
      <c r="F20" s="34"/>
      <c r="G20" s="34"/>
      <c r="H20" s="36" t="str">
        <f>IF(AND(F20&lt;&gt;"",G20&lt;&gt;""),IF(LEFT(F20,1)*1&lt;LEFT(G20,1)*1,"GAP","OK"),"")</f>
        <v/>
      </c>
      <c r="I20" s="38"/>
    </row>
    <row r="21" spans="1:9" ht="75" customHeight="1">
      <c r="A21" s="32" t="s">
        <v>80</v>
      </c>
      <c r="B21" s="33" t="s">
        <v>81</v>
      </c>
      <c r="C21" s="34" t="s">
        <v>49</v>
      </c>
      <c r="D21" s="35"/>
      <c r="E21" s="35"/>
      <c r="F21" s="34"/>
      <c r="G21" s="34"/>
      <c r="H21" s="36" t="str">
        <f>IF(AND(F21&lt;&gt;"",G21&lt;&gt;""),IF(LEFT(F21,1)*1&lt;LEFT(G21,1)*1,"GAP","OK"),"")</f>
        <v/>
      </c>
      <c r="I21" s="33"/>
    </row>
    <row r="22" spans="1:9" ht="75" customHeight="1">
      <c r="A22" s="37" t="s">
        <v>82</v>
      </c>
      <c r="B22" s="38" t="s">
        <v>83</v>
      </c>
      <c r="C22" s="34" t="s">
        <v>49</v>
      </c>
      <c r="D22" s="35"/>
      <c r="E22" s="35"/>
      <c r="F22" s="34"/>
      <c r="G22" s="34"/>
      <c r="H22" s="36" t="str">
        <f>IF(AND(F22&lt;&gt;"",G22&lt;&gt;""),IF(LEFT(F22,1)*1&lt;LEFT(G22,1)*1,"GAP","OK"),"")</f>
        <v/>
      </c>
      <c r="I22" s="38"/>
    </row>
    <row r="23" spans="1:9" ht="75" customHeight="1">
      <c r="A23" s="29" t="s">
        <v>84</v>
      </c>
      <c r="B23" s="30" t="s">
        <v>85</v>
      </c>
      <c r="C23" s="31"/>
      <c r="D23" s="31"/>
      <c r="E23" s="31"/>
      <c r="F23" s="31"/>
      <c r="G23" s="31"/>
      <c r="H23" s="31"/>
      <c r="I23" s="31"/>
    </row>
    <row r="24" spans="1:9" ht="75" customHeight="1">
      <c r="A24" s="32" t="s">
        <v>86</v>
      </c>
      <c r="B24" s="33" t="s">
        <v>87</v>
      </c>
      <c r="C24" s="34" t="s">
        <v>49</v>
      </c>
      <c r="D24" s="35"/>
      <c r="E24" s="35"/>
      <c r="F24" s="34"/>
      <c r="G24" s="34"/>
      <c r="H24" s="36" t="str">
        <f>IF(AND(F24&lt;&gt;"",G24&lt;&gt;""),IF(LEFT(F24,1)*1&lt;LEFT(G24,1)*1,"GAP","OK"),"")</f>
        <v/>
      </c>
      <c r="I24" s="33"/>
    </row>
    <row r="25" spans="1:9" ht="75" customHeight="1">
      <c r="A25" s="37" t="s">
        <v>88</v>
      </c>
      <c r="B25" s="38" t="s">
        <v>89</v>
      </c>
      <c r="C25" s="34" t="s">
        <v>49</v>
      </c>
      <c r="D25" s="35"/>
      <c r="E25" s="35"/>
      <c r="F25" s="34"/>
      <c r="G25" s="34"/>
      <c r="H25" s="36" t="str">
        <f>IF(AND(F25&lt;&gt;"",G25&lt;&gt;""),IF(LEFT(F25,1)*1&lt;LEFT(G25,1)*1,"GAP","OK"),"")</f>
        <v/>
      </c>
      <c r="I25" s="38"/>
    </row>
    <row r="26" spans="1:9" ht="75" customHeight="1">
      <c r="A26" s="29" t="s">
        <v>90</v>
      </c>
      <c r="B26" s="30" t="s">
        <v>91</v>
      </c>
      <c r="C26" s="31"/>
      <c r="D26" s="31"/>
      <c r="E26" s="31"/>
      <c r="F26" s="31"/>
      <c r="G26" s="31"/>
      <c r="H26" s="31"/>
      <c r="I26" s="31"/>
    </row>
    <row r="27" spans="1:9" ht="75" customHeight="1">
      <c r="A27" s="32" t="s">
        <v>92</v>
      </c>
      <c r="B27" s="33" t="s">
        <v>93</v>
      </c>
      <c r="C27" s="34" t="s">
        <v>49</v>
      </c>
      <c r="D27" s="35"/>
      <c r="E27" s="35"/>
      <c r="F27" s="34"/>
      <c r="G27" s="34"/>
      <c r="H27" s="36" t="str">
        <f>IF(AND(F27&lt;&gt;"",G27&lt;&gt;""),IF(LEFT(F27,1)*1&lt;LEFT(G27,1)*1,"GAP","OK"),"")</f>
        <v/>
      </c>
      <c r="I27" s="33"/>
    </row>
    <row r="28" spans="1:9" ht="75" customHeight="1">
      <c r="A28" s="37" t="s">
        <v>94</v>
      </c>
      <c r="B28" s="38" t="s">
        <v>95</v>
      </c>
      <c r="C28" s="34" t="s">
        <v>49</v>
      </c>
      <c r="D28" s="35"/>
      <c r="E28" s="35"/>
      <c r="F28" s="34"/>
      <c r="G28" s="34"/>
      <c r="H28" s="36" t="str">
        <f>IF(AND(F28&lt;&gt;"",G28&lt;&gt;""),IF(LEFT(F28,1)*1&lt;LEFT(G28,1)*1,"GAP","OK"),"")</f>
        <v/>
      </c>
      <c r="I28" s="38"/>
    </row>
    <row r="29" spans="1:9" ht="75" customHeight="1">
      <c r="A29" s="32" t="s">
        <v>96</v>
      </c>
      <c r="B29" s="33" t="s">
        <v>97</v>
      </c>
      <c r="C29" s="34" t="s">
        <v>49</v>
      </c>
      <c r="D29" s="35"/>
      <c r="E29" s="35"/>
      <c r="F29" s="34"/>
      <c r="G29" s="34"/>
      <c r="H29" s="36" t="str">
        <f>IF(AND(F29&lt;&gt;"",G29&lt;&gt;""),IF(LEFT(F29,1)*1&lt;LEFT(G29,1)*1,"GAP","OK"),"")</f>
        <v/>
      </c>
      <c r="I29" s="33"/>
    </row>
    <row r="30" spans="1:9" ht="75" customHeight="1">
      <c r="A30" s="29" t="s">
        <v>98</v>
      </c>
      <c r="B30" s="30" t="s">
        <v>99</v>
      </c>
      <c r="C30" s="31"/>
      <c r="D30" s="31"/>
      <c r="E30" s="31"/>
      <c r="F30" s="31"/>
      <c r="G30" s="31"/>
      <c r="H30" s="31"/>
      <c r="I30" s="31"/>
    </row>
    <row r="31" spans="1:9" ht="75" customHeight="1">
      <c r="A31" s="32" t="s">
        <v>100</v>
      </c>
      <c r="B31" s="33" t="s">
        <v>101</v>
      </c>
      <c r="C31" s="34" t="s">
        <v>49</v>
      </c>
      <c r="D31" s="35"/>
      <c r="E31" s="35"/>
      <c r="F31" s="34"/>
      <c r="G31" s="34"/>
      <c r="H31" s="36" t="str">
        <f t="shared" ref="H31:H40" si="1">IF(AND(F31&lt;&gt;"",G31&lt;&gt;""),IF(LEFT(F31,1)*1&lt;LEFT(G31,1)*1,"GAP","OK"),"")</f>
        <v/>
      </c>
      <c r="I31" s="33"/>
    </row>
    <row r="32" spans="1:9" ht="75" customHeight="1">
      <c r="A32" s="37" t="s">
        <v>102</v>
      </c>
      <c r="B32" s="38" t="s">
        <v>103</v>
      </c>
      <c r="C32" s="34" t="s">
        <v>49</v>
      </c>
      <c r="D32" s="35"/>
      <c r="E32" s="35"/>
      <c r="F32" s="34"/>
      <c r="G32" s="34"/>
      <c r="H32" s="36" t="str">
        <f t="shared" si="1"/>
        <v/>
      </c>
      <c r="I32" s="38"/>
    </row>
    <row r="33" spans="1:9" ht="75" customHeight="1">
      <c r="A33" s="32" t="s">
        <v>104</v>
      </c>
      <c r="B33" s="33" t="s">
        <v>105</v>
      </c>
      <c r="C33" s="34" t="s">
        <v>49</v>
      </c>
      <c r="D33" s="35"/>
      <c r="E33" s="35"/>
      <c r="F33" s="34"/>
      <c r="G33" s="34"/>
      <c r="H33" s="36" t="str">
        <f t="shared" si="1"/>
        <v/>
      </c>
      <c r="I33" s="33"/>
    </row>
    <row r="34" spans="1:9" ht="75" customHeight="1">
      <c r="A34" s="37" t="s">
        <v>106</v>
      </c>
      <c r="B34" s="38" t="s">
        <v>107</v>
      </c>
      <c r="C34" s="34" t="s">
        <v>49</v>
      </c>
      <c r="D34" s="35"/>
      <c r="E34" s="35"/>
      <c r="F34" s="34"/>
      <c r="G34" s="34"/>
      <c r="H34" s="36" t="str">
        <f t="shared" si="1"/>
        <v/>
      </c>
      <c r="I34" s="38"/>
    </row>
    <row r="35" spans="1:9" ht="75" customHeight="1">
      <c r="A35" s="32" t="s">
        <v>108</v>
      </c>
      <c r="B35" s="33" t="s">
        <v>109</v>
      </c>
      <c r="C35" s="34" t="s">
        <v>49</v>
      </c>
      <c r="D35" s="35"/>
      <c r="E35" s="35"/>
      <c r="F35" s="34"/>
      <c r="G35" s="34"/>
      <c r="H35" s="36" t="str">
        <f t="shared" si="1"/>
        <v/>
      </c>
      <c r="I35" s="33"/>
    </row>
    <row r="36" spans="1:9" ht="75" customHeight="1">
      <c r="A36" s="37" t="s">
        <v>110</v>
      </c>
      <c r="B36" s="38" t="s">
        <v>111</v>
      </c>
      <c r="C36" s="34" t="s">
        <v>49</v>
      </c>
      <c r="D36" s="35"/>
      <c r="E36" s="35"/>
      <c r="F36" s="34"/>
      <c r="G36" s="34"/>
      <c r="H36" s="36" t="str">
        <f t="shared" si="1"/>
        <v/>
      </c>
      <c r="I36" s="38"/>
    </row>
    <row r="37" spans="1:9" ht="75" customHeight="1">
      <c r="A37" s="32" t="s">
        <v>112</v>
      </c>
      <c r="B37" s="33" t="s">
        <v>113</v>
      </c>
      <c r="C37" s="34" t="s">
        <v>49</v>
      </c>
      <c r="D37" s="35"/>
      <c r="E37" s="35"/>
      <c r="F37" s="34"/>
      <c r="G37" s="34"/>
      <c r="H37" s="36" t="str">
        <f t="shared" si="1"/>
        <v/>
      </c>
      <c r="I37" s="33"/>
    </row>
    <row r="38" spans="1:9" ht="75" customHeight="1">
      <c r="A38" s="37" t="s">
        <v>114</v>
      </c>
      <c r="B38" s="38" t="s">
        <v>115</v>
      </c>
      <c r="C38" s="34" t="s">
        <v>49</v>
      </c>
      <c r="D38" s="35"/>
      <c r="E38" s="35"/>
      <c r="F38" s="34"/>
      <c r="G38" s="34"/>
      <c r="H38" s="36" t="str">
        <f t="shared" si="1"/>
        <v/>
      </c>
      <c r="I38" s="38"/>
    </row>
    <row r="39" spans="1:9" ht="75" customHeight="1">
      <c r="A39" s="32" t="s">
        <v>116</v>
      </c>
      <c r="B39" s="33" t="s">
        <v>117</v>
      </c>
      <c r="C39" s="34" t="s">
        <v>49</v>
      </c>
      <c r="D39" s="35"/>
      <c r="E39" s="35"/>
      <c r="F39" s="34"/>
      <c r="G39" s="34"/>
      <c r="H39" s="36" t="str">
        <f t="shared" si="1"/>
        <v/>
      </c>
      <c r="I39" s="33"/>
    </row>
    <row r="40" spans="1:9" ht="75" customHeight="1">
      <c r="A40" s="37" t="s">
        <v>118</v>
      </c>
      <c r="B40" s="38" t="s">
        <v>119</v>
      </c>
      <c r="C40" s="34" t="s">
        <v>49</v>
      </c>
      <c r="D40" s="35"/>
      <c r="E40" s="35"/>
      <c r="F40" s="34"/>
      <c r="G40" s="34"/>
      <c r="H40" s="36" t="str">
        <f t="shared" si="1"/>
        <v/>
      </c>
      <c r="I40" s="38"/>
    </row>
    <row r="41" spans="1:9" ht="75" customHeight="1">
      <c r="A41" s="26" t="s">
        <v>34</v>
      </c>
      <c r="B41" s="27" t="s">
        <v>120</v>
      </c>
      <c r="C41" s="28"/>
      <c r="D41" s="28"/>
      <c r="E41" s="28"/>
      <c r="F41" s="28"/>
      <c r="G41" s="28"/>
      <c r="H41" s="28"/>
      <c r="I41" s="28"/>
    </row>
    <row r="42" spans="1:9" ht="75" customHeight="1">
      <c r="A42" s="29" t="s">
        <v>121</v>
      </c>
      <c r="B42" s="30" t="s">
        <v>122</v>
      </c>
      <c r="C42" s="31"/>
      <c r="D42" s="31"/>
      <c r="E42" s="31"/>
      <c r="F42" s="31"/>
      <c r="G42" s="31"/>
      <c r="H42" s="31"/>
      <c r="I42" s="31"/>
    </row>
    <row r="43" spans="1:9" ht="75" customHeight="1">
      <c r="A43" s="32" t="s">
        <v>123</v>
      </c>
      <c r="B43" s="33" t="s">
        <v>124</v>
      </c>
      <c r="C43" s="34" t="s">
        <v>49</v>
      </c>
      <c r="D43" s="35"/>
      <c r="E43" s="35"/>
      <c r="F43" s="34"/>
      <c r="G43" s="34"/>
      <c r="H43" s="36" t="str">
        <f t="shared" ref="H43:H49" si="2">IF(AND(F43&lt;&gt;"",G43&lt;&gt;""),IF(LEFT(F43,1)*1&lt;LEFT(G43,1)*1,"GAP","OK"),"")</f>
        <v/>
      </c>
      <c r="I43" s="33"/>
    </row>
    <row r="44" spans="1:9" ht="75" customHeight="1">
      <c r="A44" s="37" t="s">
        <v>125</v>
      </c>
      <c r="B44" s="38" t="s">
        <v>126</v>
      </c>
      <c r="C44" s="34" t="s">
        <v>49</v>
      </c>
      <c r="D44" s="35"/>
      <c r="E44" s="35"/>
      <c r="F44" s="34"/>
      <c r="G44" s="34"/>
      <c r="H44" s="36" t="str">
        <f t="shared" si="2"/>
        <v/>
      </c>
      <c r="I44" s="38"/>
    </row>
    <row r="45" spans="1:9" ht="75" customHeight="1">
      <c r="A45" s="32" t="s">
        <v>127</v>
      </c>
      <c r="B45" s="33" t="s">
        <v>128</v>
      </c>
      <c r="C45" s="34" t="s">
        <v>49</v>
      </c>
      <c r="D45" s="35"/>
      <c r="E45" s="35"/>
      <c r="F45" s="34"/>
      <c r="G45" s="34"/>
      <c r="H45" s="36" t="str">
        <f t="shared" si="2"/>
        <v/>
      </c>
      <c r="I45" s="33"/>
    </row>
    <row r="46" spans="1:9" ht="75" customHeight="1">
      <c r="A46" s="37" t="s">
        <v>129</v>
      </c>
      <c r="B46" s="38" t="s">
        <v>130</v>
      </c>
      <c r="C46" s="34" t="s">
        <v>49</v>
      </c>
      <c r="D46" s="35"/>
      <c r="E46" s="35"/>
      <c r="F46" s="34"/>
      <c r="G46" s="34"/>
      <c r="H46" s="36" t="str">
        <f t="shared" si="2"/>
        <v/>
      </c>
      <c r="I46" s="38"/>
    </row>
    <row r="47" spans="1:9" ht="75" customHeight="1">
      <c r="A47" s="32" t="s">
        <v>131</v>
      </c>
      <c r="B47" s="33" t="s">
        <v>132</v>
      </c>
      <c r="C47" s="34" t="s">
        <v>49</v>
      </c>
      <c r="D47" s="35"/>
      <c r="E47" s="35"/>
      <c r="F47" s="34"/>
      <c r="G47" s="34"/>
      <c r="H47" s="36" t="str">
        <f t="shared" si="2"/>
        <v/>
      </c>
      <c r="I47" s="33"/>
    </row>
    <row r="48" spans="1:9" ht="75" customHeight="1">
      <c r="A48" s="37" t="s">
        <v>133</v>
      </c>
      <c r="B48" s="38" t="s">
        <v>134</v>
      </c>
      <c r="C48" s="34" t="s">
        <v>49</v>
      </c>
      <c r="D48" s="35"/>
      <c r="E48" s="35"/>
      <c r="F48" s="34"/>
      <c r="G48" s="34"/>
      <c r="H48" s="36" t="str">
        <f t="shared" si="2"/>
        <v/>
      </c>
      <c r="I48" s="38"/>
    </row>
    <row r="49" spans="1:9" ht="75" customHeight="1">
      <c r="A49" s="32" t="s">
        <v>135</v>
      </c>
      <c r="B49" s="33" t="s">
        <v>136</v>
      </c>
      <c r="C49" s="34" t="s">
        <v>49</v>
      </c>
      <c r="D49" s="35"/>
      <c r="E49" s="35"/>
      <c r="F49" s="34"/>
      <c r="G49" s="34"/>
      <c r="H49" s="36" t="str">
        <f t="shared" si="2"/>
        <v/>
      </c>
      <c r="I49" s="33"/>
    </row>
    <row r="50" spans="1:9" ht="75" customHeight="1">
      <c r="A50" s="29" t="s">
        <v>137</v>
      </c>
      <c r="B50" s="30" t="s">
        <v>138</v>
      </c>
      <c r="C50" s="31"/>
      <c r="D50" s="31"/>
      <c r="E50" s="31"/>
      <c r="F50" s="31"/>
      <c r="G50" s="31"/>
      <c r="H50" s="31"/>
      <c r="I50" s="31"/>
    </row>
    <row r="51" spans="1:9" ht="75" customHeight="1">
      <c r="A51" s="32" t="s">
        <v>139</v>
      </c>
      <c r="B51" s="33" t="s">
        <v>140</v>
      </c>
      <c r="C51" s="34" t="s">
        <v>49</v>
      </c>
      <c r="D51" s="35"/>
      <c r="E51" s="35"/>
      <c r="F51" s="34"/>
      <c r="G51" s="34"/>
      <c r="H51" s="36" t="str">
        <f t="shared" ref="H51:H60" si="3">IF(AND(F51&lt;&gt;"",G51&lt;&gt;""),IF(LEFT(F51,1)*1&lt;LEFT(G51,1)*1,"GAP","OK"),"")</f>
        <v/>
      </c>
      <c r="I51" s="33"/>
    </row>
    <row r="52" spans="1:9" ht="75" customHeight="1">
      <c r="A52" s="37" t="s">
        <v>141</v>
      </c>
      <c r="B52" s="38" t="s">
        <v>142</v>
      </c>
      <c r="C52" s="34" t="s">
        <v>49</v>
      </c>
      <c r="D52" s="35"/>
      <c r="E52" s="35"/>
      <c r="F52" s="34"/>
      <c r="G52" s="34"/>
      <c r="H52" s="36" t="str">
        <f t="shared" si="3"/>
        <v/>
      </c>
      <c r="I52" s="38"/>
    </row>
    <row r="53" spans="1:9" ht="75" customHeight="1">
      <c r="A53" s="32" t="s">
        <v>143</v>
      </c>
      <c r="B53" s="33" t="s">
        <v>144</v>
      </c>
      <c r="C53" s="34" t="s">
        <v>49</v>
      </c>
      <c r="D53" s="35"/>
      <c r="E53" s="35"/>
      <c r="F53" s="34"/>
      <c r="G53" s="34"/>
      <c r="H53" s="36" t="str">
        <f t="shared" si="3"/>
        <v/>
      </c>
      <c r="I53" s="33"/>
    </row>
    <row r="54" spans="1:9" ht="75" customHeight="1">
      <c r="A54" s="37" t="s">
        <v>145</v>
      </c>
      <c r="B54" s="38" t="s">
        <v>146</v>
      </c>
      <c r="C54" s="34" t="s">
        <v>49</v>
      </c>
      <c r="D54" s="35"/>
      <c r="E54" s="35"/>
      <c r="F54" s="34"/>
      <c r="G54" s="34"/>
      <c r="H54" s="36" t="str">
        <f t="shared" si="3"/>
        <v/>
      </c>
      <c r="I54" s="38"/>
    </row>
    <row r="55" spans="1:9" ht="75" customHeight="1">
      <c r="A55" s="32" t="s">
        <v>147</v>
      </c>
      <c r="B55" s="33" t="s">
        <v>148</v>
      </c>
      <c r="C55" s="34" t="s">
        <v>49</v>
      </c>
      <c r="D55" s="35"/>
      <c r="E55" s="35"/>
      <c r="F55" s="34"/>
      <c r="G55" s="34"/>
      <c r="H55" s="36" t="str">
        <f t="shared" si="3"/>
        <v/>
      </c>
      <c r="I55" s="33"/>
    </row>
    <row r="56" spans="1:9" ht="75" customHeight="1">
      <c r="A56" s="37" t="s">
        <v>149</v>
      </c>
      <c r="B56" s="38" t="s">
        <v>150</v>
      </c>
      <c r="C56" s="34" t="s">
        <v>49</v>
      </c>
      <c r="D56" s="35"/>
      <c r="E56" s="35"/>
      <c r="F56" s="34"/>
      <c r="G56" s="34"/>
      <c r="H56" s="36" t="str">
        <f t="shared" si="3"/>
        <v/>
      </c>
      <c r="I56" s="38"/>
    </row>
    <row r="57" spans="1:9" ht="75" customHeight="1">
      <c r="A57" s="32" t="s">
        <v>151</v>
      </c>
      <c r="B57" s="33" t="s">
        <v>152</v>
      </c>
      <c r="C57" s="34" t="s">
        <v>49</v>
      </c>
      <c r="D57" s="35"/>
      <c r="E57" s="35"/>
      <c r="F57" s="34"/>
      <c r="G57" s="34"/>
      <c r="H57" s="36" t="str">
        <f t="shared" si="3"/>
        <v/>
      </c>
      <c r="I57" s="33"/>
    </row>
    <row r="58" spans="1:9" ht="75" customHeight="1">
      <c r="A58" s="37" t="s">
        <v>153</v>
      </c>
      <c r="B58" s="38" t="s">
        <v>154</v>
      </c>
      <c r="C58" s="34" t="s">
        <v>49</v>
      </c>
      <c r="D58" s="35"/>
      <c r="E58" s="35"/>
      <c r="F58" s="34"/>
      <c r="G58" s="34"/>
      <c r="H58" s="36" t="str">
        <f t="shared" si="3"/>
        <v/>
      </c>
      <c r="I58" s="38"/>
    </row>
    <row r="59" spans="1:9" ht="75" customHeight="1">
      <c r="A59" s="32" t="s">
        <v>155</v>
      </c>
      <c r="B59" s="33" t="s">
        <v>156</v>
      </c>
      <c r="C59" s="34" t="s">
        <v>49</v>
      </c>
      <c r="D59" s="35"/>
      <c r="E59" s="35"/>
      <c r="F59" s="34"/>
      <c r="G59" s="34"/>
      <c r="H59" s="36" t="str">
        <f t="shared" si="3"/>
        <v/>
      </c>
      <c r="I59" s="33"/>
    </row>
    <row r="60" spans="1:9" ht="75" customHeight="1">
      <c r="A60" s="37" t="s">
        <v>157</v>
      </c>
      <c r="B60" s="38" t="s">
        <v>158</v>
      </c>
      <c r="C60" s="34" t="s">
        <v>49</v>
      </c>
      <c r="D60" s="35"/>
      <c r="E60" s="35"/>
      <c r="F60" s="34"/>
      <c r="G60" s="34"/>
      <c r="H60" s="36" t="str">
        <f t="shared" si="3"/>
        <v/>
      </c>
      <c r="I60" s="38"/>
    </row>
    <row r="61" spans="1:9" ht="75" customHeight="1">
      <c r="A61" s="29" t="s">
        <v>159</v>
      </c>
      <c r="B61" s="30" t="s">
        <v>160</v>
      </c>
      <c r="C61" s="31"/>
      <c r="D61" s="31"/>
      <c r="E61" s="31"/>
      <c r="F61" s="31"/>
      <c r="G61" s="31"/>
      <c r="H61" s="31"/>
      <c r="I61" s="31"/>
    </row>
    <row r="62" spans="1:9" ht="75" customHeight="1">
      <c r="A62" s="32" t="s">
        <v>161</v>
      </c>
      <c r="B62" s="33" t="s">
        <v>162</v>
      </c>
      <c r="C62" s="34" t="s">
        <v>49</v>
      </c>
      <c r="D62" s="35"/>
      <c r="E62" s="35"/>
      <c r="F62" s="34"/>
      <c r="G62" s="34"/>
      <c r="H62" s="36" t="str">
        <f>IF(AND(F62&lt;&gt;"",G62&lt;&gt;""),IF(LEFT(F62,1)*1&lt;LEFT(G62,1)*1,"GAP","OK"),"")</f>
        <v/>
      </c>
      <c r="I62" s="33"/>
    </row>
    <row r="63" spans="1:9" ht="75" customHeight="1">
      <c r="A63" s="37" t="s">
        <v>163</v>
      </c>
      <c r="B63" s="38" t="s">
        <v>164</v>
      </c>
      <c r="C63" s="34" t="s">
        <v>49</v>
      </c>
      <c r="D63" s="35"/>
      <c r="E63" s="35"/>
      <c r="F63" s="34"/>
      <c r="G63" s="34"/>
      <c r="H63" s="36" t="str">
        <f>IF(AND(F63&lt;&gt;"",G63&lt;&gt;""),IF(LEFT(F63,1)*1&lt;LEFT(G63,1)*1,"GAP","OK"),"")</f>
        <v/>
      </c>
      <c r="I63" s="38"/>
    </row>
    <row r="64" spans="1:9" ht="75" customHeight="1">
      <c r="A64" s="32" t="s">
        <v>165</v>
      </c>
      <c r="B64" s="33" t="s">
        <v>166</v>
      </c>
      <c r="C64" s="34" t="s">
        <v>49</v>
      </c>
      <c r="D64" s="35"/>
      <c r="E64" s="35"/>
      <c r="F64" s="34"/>
      <c r="G64" s="34"/>
      <c r="H64" s="36" t="str">
        <f>IF(AND(F64&lt;&gt;"",G64&lt;&gt;""),IF(LEFT(F64,1)*1&lt;LEFT(G64,1)*1,"GAP","OK"),"")</f>
        <v/>
      </c>
      <c r="I64" s="33"/>
    </row>
    <row r="65" spans="1:9" ht="75" customHeight="1">
      <c r="A65" s="37" t="s">
        <v>167</v>
      </c>
      <c r="B65" s="38" t="s">
        <v>168</v>
      </c>
      <c r="C65" s="34" t="s">
        <v>49</v>
      </c>
      <c r="D65" s="35"/>
      <c r="E65" s="35"/>
      <c r="F65" s="34"/>
      <c r="G65" s="34"/>
      <c r="H65" s="36" t="str">
        <f>IF(AND(F65&lt;&gt;"",G65&lt;&gt;""),IF(LEFT(F65,1)*1&lt;LEFT(G65,1)*1,"GAP","OK"),"")</f>
        <v/>
      </c>
      <c r="I65" s="38"/>
    </row>
    <row r="66" spans="1:9" ht="75" customHeight="1">
      <c r="A66" s="26" t="s">
        <v>169</v>
      </c>
      <c r="B66" s="27" t="s">
        <v>170</v>
      </c>
      <c r="C66" s="28"/>
      <c r="D66" s="28"/>
      <c r="E66" s="28"/>
      <c r="F66" s="28"/>
      <c r="G66" s="28"/>
      <c r="H66" s="28"/>
      <c r="I66" s="28"/>
    </row>
    <row r="67" spans="1:9" ht="75" customHeight="1">
      <c r="A67" s="29" t="s">
        <v>171</v>
      </c>
      <c r="B67" s="30" t="s">
        <v>172</v>
      </c>
      <c r="C67" s="31"/>
      <c r="D67" s="31"/>
      <c r="E67" s="31"/>
      <c r="F67" s="31"/>
      <c r="G67" s="31"/>
      <c r="H67" s="31"/>
      <c r="I67" s="31"/>
    </row>
    <row r="68" spans="1:9" ht="75" customHeight="1">
      <c r="A68" s="32" t="s">
        <v>173</v>
      </c>
      <c r="B68" s="33" t="s">
        <v>174</v>
      </c>
      <c r="C68" s="34" t="s">
        <v>49</v>
      </c>
      <c r="D68" s="35"/>
      <c r="E68" s="35"/>
      <c r="F68" s="34"/>
      <c r="G68" s="34"/>
      <c r="H68" s="36" t="str">
        <f t="shared" ref="H68:H73" si="4">IF(AND(F68&lt;&gt;"",G68&lt;&gt;""),IF(LEFT(F68,1)*1&lt;LEFT(G68,1)*1,"GAP","OK"),"")</f>
        <v/>
      </c>
      <c r="I68" s="33"/>
    </row>
    <row r="69" spans="1:9" ht="75" customHeight="1">
      <c r="A69" s="37" t="s">
        <v>175</v>
      </c>
      <c r="B69" s="38" t="s">
        <v>176</v>
      </c>
      <c r="C69" s="34" t="s">
        <v>49</v>
      </c>
      <c r="D69" s="35"/>
      <c r="E69" s="35"/>
      <c r="F69" s="34"/>
      <c r="G69" s="34"/>
      <c r="H69" s="36" t="str">
        <f t="shared" si="4"/>
        <v/>
      </c>
      <c r="I69" s="38"/>
    </row>
    <row r="70" spans="1:9" ht="75" customHeight="1">
      <c r="A70" s="32" t="s">
        <v>177</v>
      </c>
      <c r="B70" s="33" t="s">
        <v>178</v>
      </c>
      <c r="C70" s="34" t="s">
        <v>49</v>
      </c>
      <c r="D70" s="35"/>
      <c r="E70" s="35"/>
      <c r="F70" s="34"/>
      <c r="G70" s="34"/>
      <c r="H70" s="36" t="str">
        <f t="shared" si="4"/>
        <v/>
      </c>
      <c r="I70" s="33"/>
    </row>
    <row r="71" spans="1:9" ht="75" customHeight="1">
      <c r="A71" s="37" t="s">
        <v>179</v>
      </c>
      <c r="B71" s="38" t="s">
        <v>180</v>
      </c>
      <c r="C71" s="34" t="s">
        <v>49</v>
      </c>
      <c r="D71" s="35"/>
      <c r="E71" s="35"/>
      <c r="F71" s="34"/>
      <c r="G71" s="34"/>
      <c r="H71" s="36" t="str">
        <f t="shared" si="4"/>
        <v/>
      </c>
      <c r="I71" s="38"/>
    </row>
    <row r="72" spans="1:9" ht="75" customHeight="1">
      <c r="A72" s="32" t="s">
        <v>181</v>
      </c>
      <c r="B72" s="33" t="s">
        <v>182</v>
      </c>
      <c r="C72" s="34" t="s">
        <v>49</v>
      </c>
      <c r="D72" s="35"/>
      <c r="E72" s="35"/>
      <c r="F72" s="34"/>
      <c r="G72" s="34"/>
      <c r="H72" s="36" t="str">
        <f t="shared" si="4"/>
        <v/>
      </c>
      <c r="I72" s="33"/>
    </row>
    <row r="73" spans="1:9" ht="75" customHeight="1">
      <c r="A73" s="37" t="s">
        <v>183</v>
      </c>
      <c r="B73" s="38" t="s">
        <v>184</v>
      </c>
      <c r="C73" s="34" t="s">
        <v>49</v>
      </c>
      <c r="D73" s="35"/>
      <c r="E73" s="35"/>
      <c r="F73" s="34"/>
      <c r="G73" s="34"/>
      <c r="H73" s="36" t="str">
        <f t="shared" si="4"/>
        <v/>
      </c>
      <c r="I73" s="38"/>
    </row>
    <row r="74" spans="1:9" ht="75" customHeight="1">
      <c r="A74" s="29" t="s">
        <v>185</v>
      </c>
      <c r="B74" s="30" t="s">
        <v>186</v>
      </c>
      <c r="C74" s="31"/>
      <c r="D74" s="31"/>
      <c r="E74" s="31"/>
      <c r="F74" s="31"/>
      <c r="G74" s="31"/>
      <c r="H74" s="31"/>
      <c r="I74" s="31"/>
    </row>
    <row r="75" spans="1:9" ht="75" customHeight="1">
      <c r="A75" s="32" t="s">
        <v>187</v>
      </c>
      <c r="B75" s="33" t="s">
        <v>188</v>
      </c>
      <c r="C75" s="34" t="s">
        <v>49</v>
      </c>
      <c r="D75" s="35"/>
      <c r="E75" s="35"/>
      <c r="F75" s="34"/>
      <c r="G75" s="34"/>
      <c r="H75" s="36" t="str">
        <f>IF(AND(F75&lt;&gt;"",G75&lt;&gt;""),IF(LEFT(F75,1)*1&lt;LEFT(G75,1)*1,"GAP","OK"),"")</f>
        <v/>
      </c>
      <c r="I75" s="33"/>
    </row>
    <row r="76" spans="1:9" ht="75" customHeight="1">
      <c r="A76" s="37" t="s">
        <v>189</v>
      </c>
      <c r="B76" s="38" t="s">
        <v>190</v>
      </c>
      <c r="C76" s="34" t="s">
        <v>49</v>
      </c>
      <c r="D76" s="35"/>
      <c r="E76" s="35"/>
      <c r="F76" s="34"/>
      <c r="G76" s="34"/>
      <c r="H76" s="36" t="str">
        <f>IF(AND(F76&lt;&gt;"",G76&lt;&gt;""),IF(LEFT(F76,1)*1&lt;LEFT(G76,1)*1,"GAP","OK"),"")</f>
        <v/>
      </c>
      <c r="I76" s="38"/>
    </row>
    <row r="77" spans="1:9" ht="75" customHeight="1">
      <c r="A77" s="29" t="s">
        <v>191</v>
      </c>
      <c r="B77" s="30" t="s">
        <v>192</v>
      </c>
      <c r="C77" s="31"/>
      <c r="D77" s="31"/>
      <c r="E77" s="31"/>
      <c r="F77" s="31"/>
      <c r="G77" s="31"/>
      <c r="H77" s="31"/>
      <c r="I77" s="31"/>
    </row>
    <row r="78" spans="1:9" ht="75" customHeight="1">
      <c r="A78" s="32" t="s">
        <v>193</v>
      </c>
      <c r="B78" s="33" t="s">
        <v>194</v>
      </c>
      <c r="C78" s="34" t="s">
        <v>49</v>
      </c>
      <c r="D78" s="35"/>
      <c r="E78" s="35"/>
      <c r="F78" s="34"/>
      <c r="G78" s="34"/>
      <c r="H78" s="36" t="str">
        <f>IF(AND(F78&lt;&gt;"",G78&lt;&gt;""),IF(LEFT(F78,1)*1&lt;LEFT(G78,1)*1,"GAP","OK"),"")</f>
        <v/>
      </c>
      <c r="I78" s="33"/>
    </row>
    <row r="79" spans="1:9" ht="75" customHeight="1">
      <c r="A79" s="37" t="s">
        <v>195</v>
      </c>
      <c r="B79" s="38" t="s">
        <v>196</v>
      </c>
      <c r="C79" s="34" t="s">
        <v>49</v>
      </c>
      <c r="D79" s="35"/>
      <c r="E79" s="35"/>
      <c r="F79" s="34"/>
      <c r="G79" s="34"/>
      <c r="H79" s="36" t="str">
        <f>IF(AND(F79&lt;&gt;"",G79&lt;&gt;""),IF(LEFT(F79,1)*1&lt;LEFT(G79,1)*1,"GAP","OK"),"")</f>
        <v/>
      </c>
      <c r="I79" s="38"/>
    </row>
    <row r="80" spans="1:9" ht="75" customHeight="1">
      <c r="A80" s="32" t="s">
        <v>197</v>
      </c>
      <c r="B80" s="33" t="s">
        <v>198</v>
      </c>
      <c r="C80" s="34" t="s">
        <v>49</v>
      </c>
      <c r="D80" s="35"/>
      <c r="E80" s="35"/>
      <c r="F80" s="34"/>
      <c r="G80" s="34"/>
      <c r="H80" s="36" t="str">
        <f>IF(AND(F80&lt;&gt;"",G80&lt;&gt;""),IF(LEFT(F80,1)*1&lt;LEFT(G80,1)*1,"GAP","OK"),"")</f>
        <v/>
      </c>
      <c r="I80" s="33"/>
    </row>
    <row r="81" spans="1:9" ht="75" customHeight="1">
      <c r="A81" s="37" t="s">
        <v>199</v>
      </c>
      <c r="B81" s="38" t="s">
        <v>200</v>
      </c>
      <c r="C81" s="34" t="s">
        <v>49</v>
      </c>
      <c r="D81" s="35"/>
      <c r="E81" s="35"/>
      <c r="F81" s="34"/>
      <c r="G81" s="34"/>
      <c r="H81" s="36" t="str">
        <f>IF(AND(F81&lt;&gt;"",G81&lt;&gt;""),IF(LEFT(F81,1)*1&lt;LEFT(G81,1)*1,"GAP","OK"),"")</f>
        <v/>
      </c>
      <c r="I81" s="38"/>
    </row>
    <row r="82" spans="1:9" ht="75" customHeight="1">
      <c r="A82" s="29" t="s">
        <v>201</v>
      </c>
      <c r="B82" s="30" t="s">
        <v>202</v>
      </c>
      <c r="C82" s="31"/>
      <c r="D82" s="31"/>
      <c r="E82" s="31"/>
      <c r="F82" s="31"/>
      <c r="G82" s="31"/>
      <c r="H82" s="31"/>
      <c r="I82" s="31"/>
    </row>
    <row r="83" spans="1:9" ht="75" customHeight="1">
      <c r="A83" s="32" t="s">
        <v>203</v>
      </c>
      <c r="B83" s="33" t="s">
        <v>204</v>
      </c>
      <c r="C83" s="34" t="s">
        <v>49</v>
      </c>
      <c r="D83" s="35"/>
      <c r="E83" s="35"/>
      <c r="F83" s="34"/>
      <c r="G83" s="34"/>
      <c r="H83" s="36" t="str">
        <f t="shared" ref="H83:H88" si="5">IF(AND(F83&lt;&gt;"",G83&lt;&gt;""),IF(LEFT(F83,1)*1&lt;LEFT(G83,1)*1,"GAP","OK"),"")</f>
        <v/>
      </c>
      <c r="I83" s="33"/>
    </row>
    <row r="84" spans="1:9" ht="75" customHeight="1">
      <c r="A84" s="37" t="s">
        <v>205</v>
      </c>
      <c r="B84" s="38" t="s">
        <v>206</v>
      </c>
      <c r="C84" s="34" t="s">
        <v>49</v>
      </c>
      <c r="D84" s="35"/>
      <c r="E84" s="35"/>
      <c r="F84" s="34"/>
      <c r="G84" s="34"/>
      <c r="H84" s="36" t="str">
        <f t="shared" si="5"/>
        <v/>
      </c>
      <c r="I84" s="38"/>
    </row>
    <row r="85" spans="1:9" ht="75" customHeight="1">
      <c r="A85" s="32" t="s">
        <v>207</v>
      </c>
      <c r="B85" s="33" t="s">
        <v>208</v>
      </c>
      <c r="C85" s="34" t="s">
        <v>49</v>
      </c>
      <c r="D85" s="35"/>
      <c r="E85" s="35"/>
      <c r="F85" s="34"/>
      <c r="G85" s="34"/>
      <c r="H85" s="36" t="str">
        <f t="shared" si="5"/>
        <v/>
      </c>
      <c r="I85" s="33"/>
    </row>
    <row r="86" spans="1:9" ht="75" customHeight="1">
      <c r="A86" s="37" t="s">
        <v>209</v>
      </c>
      <c r="B86" s="38" t="s">
        <v>210</v>
      </c>
      <c r="C86" s="34" t="s">
        <v>49</v>
      </c>
      <c r="D86" s="35"/>
      <c r="E86" s="35"/>
      <c r="F86" s="34"/>
      <c r="G86" s="34"/>
      <c r="H86" s="36" t="str">
        <f t="shared" si="5"/>
        <v/>
      </c>
      <c r="I86" s="38"/>
    </row>
    <row r="87" spans="1:9" ht="75" customHeight="1">
      <c r="A87" s="32" t="s">
        <v>211</v>
      </c>
      <c r="B87" s="33" t="s">
        <v>212</v>
      </c>
      <c r="C87" s="34" t="s">
        <v>49</v>
      </c>
      <c r="D87" s="35"/>
      <c r="E87" s="35"/>
      <c r="F87" s="34"/>
      <c r="G87" s="34"/>
      <c r="H87" s="36" t="str">
        <f t="shared" si="5"/>
        <v/>
      </c>
      <c r="I87" s="33"/>
    </row>
    <row r="88" spans="1:9" ht="75" customHeight="1">
      <c r="A88" s="37" t="s">
        <v>213</v>
      </c>
      <c r="B88" s="38" t="s">
        <v>214</v>
      </c>
      <c r="C88" s="34" t="s">
        <v>49</v>
      </c>
      <c r="D88" s="35"/>
      <c r="E88" s="35"/>
      <c r="F88" s="34"/>
      <c r="G88" s="34"/>
      <c r="H88" s="36" t="str">
        <f t="shared" si="5"/>
        <v/>
      </c>
      <c r="I88" s="38"/>
    </row>
    <row r="89" spans="1:9" ht="75" customHeight="1">
      <c r="A89" s="29" t="s">
        <v>215</v>
      </c>
      <c r="B89" s="30" t="s">
        <v>216</v>
      </c>
      <c r="C89" s="31"/>
      <c r="D89" s="31"/>
      <c r="E89" s="31"/>
      <c r="F89" s="31"/>
      <c r="G89" s="31"/>
      <c r="H89" s="31"/>
      <c r="I89" s="31"/>
    </row>
    <row r="90" spans="1:9" ht="75" customHeight="1">
      <c r="A90" s="32" t="s">
        <v>217</v>
      </c>
      <c r="B90" s="33" t="s">
        <v>218</v>
      </c>
      <c r="C90" s="34" t="s">
        <v>49</v>
      </c>
      <c r="D90" s="35"/>
      <c r="E90" s="35"/>
      <c r="F90" s="34"/>
      <c r="G90" s="34"/>
      <c r="H90" s="36" t="str">
        <f>IF(AND(F90&lt;&gt;"",G90&lt;&gt;""),IF(LEFT(F90,1)*1&lt;LEFT(G90,1)*1,"GAP","OK"),"")</f>
        <v/>
      </c>
      <c r="I90" s="33"/>
    </row>
    <row r="91" spans="1:9" ht="75" customHeight="1">
      <c r="A91" s="37" t="s">
        <v>219</v>
      </c>
      <c r="B91" s="38" t="s">
        <v>220</v>
      </c>
      <c r="C91" s="34" t="s">
        <v>49</v>
      </c>
      <c r="D91" s="35"/>
      <c r="E91" s="35"/>
      <c r="F91" s="34"/>
      <c r="G91" s="34"/>
      <c r="H91" s="36" t="str">
        <f>IF(AND(F91&lt;&gt;"",G91&lt;&gt;""),IF(LEFT(F91,1)*1&lt;LEFT(G91,1)*1,"GAP","OK"),"")</f>
        <v/>
      </c>
      <c r="I91" s="38"/>
    </row>
    <row r="92" spans="1:9" ht="75" customHeight="1">
      <c r="A92" s="32" t="s">
        <v>221</v>
      </c>
      <c r="B92" s="33" t="s">
        <v>222</v>
      </c>
      <c r="C92" s="34" t="s">
        <v>49</v>
      </c>
      <c r="D92" s="35"/>
      <c r="E92" s="35"/>
      <c r="F92" s="34"/>
      <c r="G92" s="34"/>
      <c r="H92" s="36" t="str">
        <f>IF(AND(F92&lt;&gt;"",G92&lt;&gt;""),IF(LEFT(F92,1)*1&lt;LEFT(G92,1)*1,"GAP","OK"),"")</f>
        <v/>
      </c>
      <c r="I92" s="33"/>
    </row>
    <row r="93" spans="1:9" ht="75" customHeight="1">
      <c r="A93" s="37" t="s">
        <v>223</v>
      </c>
      <c r="B93" s="38" t="s">
        <v>224</v>
      </c>
      <c r="C93" s="34" t="s">
        <v>49</v>
      </c>
      <c r="D93" s="35"/>
      <c r="E93" s="35"/>
      <c r="F93" s="34"/>
      <c r="G93" s="34"/>
      <c r="H93" s="36" t="str">
        <f>IF(AND(F93&lt;&gt;"",G93&lt;&gt;""),IF(LEFT(F93,1)*1&lt;LEFT(G93,1)*1,"GAP","OK"),"")</f>
        <v/>
      </c>
      <c r="I93" s="38"/>
    </row>
    <row r="94" spans="1:9" ht="75" customHeight="1">
      <c r="A94" s="26" t="s">
        <v>225</v>
      </c>
      <c r="B94" s="27" t="s">
        <v>226</v>
      </c>
      <c r="C94" s="28"/>
      <c r="D94" s="28"/>
      <c r="E94" s="28"/>
      <c r="F94" s="28"/>
      <c r="G94" s="28"/>
      <c r="H94" s="28"/>
      <c r="I94" s="28"/>
    </row>
    <row r="95" spans="1:9" ht="75" customHeight="1">
      <c r="A95" s="29" t="s">
        <v>227</v>
      </c>
      <c r="B95" s="30" t="s">
        <v>228</v>
      </c>
      <c r="C95" s="31"/>
      <c r="D95" s="31"/>
      <c r="E95" s="31"/>
      <c r="F95" s="31"/>
      <c r="G95" s="31"/>
      <c r="H95" s="31"/>
      <c r="I95" s="31"/>
    </row>
    <row r="96" spans="1:9" ht="75" customHeight="1">
      <c r="A96" s="32" t="s">
        <v>229</v>
      </c>
      <c r="B96" s="33" t="s">
        <v>230</v>
      </c>
      <c r="C96" s="34" t="s">
        <v>49</v>
      </c>
      <c r="D96" s="35"/>
      <c r="E96" s="35"/>
      <c r="F96" s="34"/>
      <c r="G96" s="34"/>
      <c r="H96" s="36" t="str">
        <f>IF(AND(F96&lt;&gt;"",G96&lt;&gt;""),IF(LEFT(F96,1)*1&lt;LEFT(G96,1)*1,"GAP","OK"),"")</f>
        <v/>
      </c>
      <c r="I96" s="33"/>
    </row>
    <row r="97" spans="1:9" ht="75" customHeight="1">
      <c r="A97" s="37" t="s">
        <v>231</v>
      </c>
      <c r="B97" s="38" t="s">
        <v>232</v>
      </c>
      <c r="C97" s="34" t="s">
        <v>49</v>
      </c>
      <c r="D97" s="35"/>
      <c r="E97" s="35"/>
      <c r="F97" s="34"/>
      <c r="G97" s="34"/>
      <c r="H97" s="36" t="str">
        <f>IF(AND(F97&lt;&gt;"",G97&lt;&gt;""),IF(LEFT(F97,1)*1&lt;LEFT(G97,1)*1,"GAP","OK"),"")</f>
        <v/>
      </c>
      <c r="I97" s="38"/>
    </row>
    <row r="98" spans="1:9" ht="75" customHeight="1">
      <c r="A98" s="32" t="s">
        <v>233</v>
      </c>
      <c r="B98" s="33" t="s">
        <v>234</v>
      </c>
      <c r="C98" s="34" t="s">
        <v>49</v>
      </c>
      <c r="D98" s="35"/>
      <c r="E98" s="35"/>
      <c r="F98" s="34"/>
      <c r="G98" s="34"/>
      <c r="H98" s="36" t="str">
        <f>IF(AND(F98&lt;&gt;"",G98&lt;&gt;""),IF(LEFT(F98,1)*1&lt;LEFT(G98,1)*1,"GAP","OK"),"")</f>
        <v/>
      </c>
      <c r="I98" s="33"/>
    </row>
    <row r="99" spans="1:9" ht="75" customHeight="1">
      <c r="A99" s="37" t="s">
        <v>235</v>
      </c>
      <c r="B99" s="38" t="s">
        <v>236</v>
      </c>
      <c r="C99" s="34" t="s">
        <v>49</v>
      </c>
      <c r="D99" s="35"/>
      <c r="E99" s="35"/>
      <c r="F99" s="34"/>
      <c r="G99" s="34"/>
      <c r="H99" s="36" t="str">
        <f>IF(AND(F99&lt;&gt;"",G99&lt;&gt;""),IF(LEFT(F99,1)*1&lt;LEFT(G99,1)*1,"GAP","OK"),"")</f>
        <v/>
      </c>
      <c r="I99" s="38"/>
    </row>
    <row r="100" spans="1:9" ht="75" customHeight="1">
      <c r="A100" s="32" t="s">
        <v>237</v>
      </c>
      <c r="B100" s="33" t="s">
        <v>238</v>
      </c>
      <c r="C100" s="34" t="s">
        <v>49</v>
      </c>
      <c r="D100" s="35"/>
      <c r="E100" s="35"/>
      <c r="F100" s="34"/>
      <c r="G100" s="34"/>
      <c r="H100" s="36" t="str">
        <f>IF(AND(F100&lt;&gt;"",G100&lt;&gt;""),IF(LEFT(F100,1)*1&lt;LEFT(G100,1)*1,"GAP","OK"),"")</f>
        <v/>
      </c>
      <c r="I100" s="33"/>
    </row>
    <row r="101" spans="1:9" ht="75" customHeight="1">
      <c r="A101" s="29" t="s">
        <v>239</v>
      </c>
      <c r="B101" s="30" t="s">
        <v>240</v>
      </c>
      <c r="C101" s="31"/>
      <c r="D101" s="31"/>
      <c r="E101" s="31"/>
      <c r="F101" s="31"/>
      <c r="G101" s="31"/>
      <c r="H101" s="31"/>
      <c r="I101" s="31"/>
    </row>
    <row r="102" spans="1:9" ht="75" customHeight="1">
      <c r="A102" s="32" t="s">
        <v>241</v>
      </c>
      <c r="B102" s="33" t="s">
        <v>242</v>
      </c>
      <c r="C102" s="34" t="s">
        <v>49</v>
      </c>
      <c r="D102" s="35"/>
      <c r="E102" s="35"/>
      <c r="F102" s="34"/>
      <c r="G102" s="34"/>
      <c r="H102" s="36" t="str">
        <f t="shared" ref="H102:H109" si="6">IF(AND(F102&lt;&gt;"",G102&lt;&gt;""),IF(LEFT(F102,1)*1&lt;LEFT(G102,1)*1,"GAP","OK"),"")</f>
        <v/>
      </c>
      <c r="I102" s="33"/>
    </row>
    <row r="103" spans="1:9" ht="75" customHeight="1">
      <c r="A103" s="37" t="s">
        <v>243</v>
      </c>
      <c r="B103" s="38" t="s">
        <v>244</v>
      </c>
      <c r="C103" s="34" t="s">
        <v>49</v>
      </c>
      <c r="D103" s="35"/>
      <c r="E103" s="35"/>
      <c r="F103" s="34"/>
      <c r="G103" s="34"/>
      <c r="H103" s="36" t="str">
        <f t="shared" si="6"/>
        <v/>
      </c>
      <c r="I103" s="38"/>
    </row>
    <row r="104" spans="1:9" ht="75" customHeight="1">
      <c r="A104" s="32" t="s">
        <v>245</v>
      </c>
      <c r="B104" s="33" t="s">
        <v>246</v>
      </c>
      <c r="C104" s="34" t="s">
        <v>49</v>
      </c>
      <c r="D104" s="35"/>
      <c r="E104" s="35"/>
      <c r="F104" s="34"/>
      <c r="G104" s="34"/>
      <c r="H104" s="36" t="str">
        <f t="shared" si="6"/>
        <v/>
      </c>
      <c r="I104" s="33"/>
    </row>
    <row r="105" spans="1:9" ht="75" customHeight="1">
      <c r="A105" s="37" t="s">
        <v>247</v>
      </c>
      <c r="B105" s="38" t="s">
        <v>248</v>
      </c>
      <c r="C105" s="34" t="s">
        <v>49</v>
      </c>
      <c r="D105" s="35"/>
      <c r="E105" s="35"/>
      <c r="F105" s="34"/>
      <c r="G105" s="34"/>
      <c r="H105" s="36" t="str">
        <f t="shared" si="6"/>
        <v/>
      </c>
      <c r="I105" s="38"/>
    </row>
    <row r="106" spans="1:9" ht="75" customHeight="1">
      <c r="A106" s="32" t="s">
        <v>249</v>
      </c>
      <c r="B106" s="33" t="s">
        <v>250</v>
      </c>
      <c r="C106" s="34" t="s">
        <v>49</v>
      </c>
      <c r="D106" s="35"/>
      <c r="E106" s="35"/>
      <c r="F106" s="34"/>
      <c r="G106" s="34"/>
      <c r="H106" s="36" t="str">
        <f t="shared" si="6"/>
        <v/>
      </c>
      <c r="I106" s="33"/>
    </row>
    <row r="107" spans="1:9" ht="75" customHeight="1">
      <c r="A107" s="37" t="s">
        <v>251</v>
      </c>
      <c r="B107" s="38" t="s">
        <v>252</v>
      </c>
      <c r="C107" s="34" t="s">
        <v>49</v>
      </c>
      <c r="D107" s="35"/>
      <c r="E107" s="35"/>
      <c r="F107" s="34"/>
      <c r="G107" s="34"/>
      <c r="H107" s="36" t="str">
        <f t="shared" si="6"/>
        <v/>
      </c>
      <c r="I107" s="38"/>
    </row>
    <row r="108" spans="1:9" ht="75" customHeight="1">
      <c r="A108" s="32" t="s">
        <v>253</v>
      </c>
      <c r="B108" s="33" t="s">
        <v>250</v>
      </c>
      <c r="C108" s="34" t="s">
        <v>49</v>
      </c>
      <c r="D108" s="35"/>
      <c r="E108" s="35"/>
      <c r="F108" s="34"/>
      <c r="G108" s="34"/>
      <c r="H108" s="36" t="str">
        <f t="shared" si="6"/>
        <v/>
      </c>
      <c r="I108" s="33"/>
    </row>
    <row r="109" spans="1:9" ht="75" customHeight="1">
      <c r="A109" s="37" t="s">
        <v>254</v>
      </c>
      <c r="B109" s="38" t="s">
        <v>255</v>
      </c>
      <c r="C109" s="34" t="s">
        <v>49</v>
      </c>
      <c r="D109" s="35"/>
      <c r="E109" s="35"/>
      <c r="F109" s="34"/>
      <c r="G109" s="34"/>
      <c r="H109" s="36" t="str">
        <f t="shared" si="6"/>
        <v/>
      </c>
      <c r="I109" s="38"/>
    </row>
    <row r="110" spans="1:9" ht="75" customHeight="1">
      <c r="A110" s="26" t="s">
        <v>256</v>
      </c>
      <c r="B110" s="27" t="s">
        <v>257</v>
      </c>
      <c r="C110" s="28"/>
      <c r="D110" s="28"/>
      <c r="E110" s="28"/>
      <c r="F110" s="28"/>
      <c r="G110" s="28"/>
      <c r="H110" s="28"/>
      <c r="I110" s="28"/>
    </row>
    <row r="111" spans="1:9" ht="75" customHeight="1">
      <c r="A111" s="29" t="s">
        <v>258</v>
      </c>
      <c r="B111" s="30" t="s">
        <v>259</v>
      </c>
      <c r="C111" s="31"/>
      <c r="D111" s="31"/>
      <c r="E111" s="31"/>
      <c r="F111" s="31"/>
      <c r="G111" s="31"/>
      <c r="H111" s="31"/>
      <c r="I111" s="31"/>
    </row>
    <row r="112" spans="1:9" ht="75" customHeight="1">
      <c r="A112" s="32" t="s">
        <v>260</v>
      </c>
      <c r="B112" s="33" t="s">
        <v>261</v>
      </c>
      <c r="C112" s="34" t="s">
        <v>49</v>
      </c>
      <c r="D112" s="35"/>
      <c r="E112" s="35"/>
      <c r="F112" s="34"/>
      <c r="G112" s="34"/>
      <c r="H112" s="36" t="str">
        <f>IF(AND(F112&lt;&gt;"",G112&lt;&gt;""),IF(LEFT(F112,1)*1&lt;LEFT(G112,1)*1,"GAP","OK"),"")</f>
        <v/>
      </c>
      <c r="I112" s="33"/>
    </row>
    <row r="113" spans="1:9" ht="75" customHeight="1">
      <c r="A113" s="37" t="s">
        <v>262</v>
      </c>
      <c r="B113" s="38" t="s">
        <v>263</v>
      </c>
      <c r="C113" s="34" t="s">
        <v>49</v>
      </c>
      <c r="D113" s="35"/>
      <c r="E113" s="35"/>
      <c r="F113" s="34"/>
      <c r="G113" s="34"/>
      <c r="H113" s="36" t="str">
        <f>IF(AND(F113&lt;&gt;"",G113&lt;&gt;""),IF(LEFT(F113,1)*1&lt;LEFT(G113,1)*1,"GAP","OK"),"")</f>
        <v/>
      </c>
      <c r="I113" s="38"/>
    </row>
    <row r="114" spans="1:9" ht="75" customHeight="1">
      <c r="A114" s="32" t="s">
        <v>264</v>
      </c>
      <c r="B114" s="33" t="s">
        <v>265</v>
      </c>
      <c r="C114" s="34" t="s">
        <v>49</v>
      </c>
      <c r="D114" s="35"/>
      <c r="E114" s="35"/>
      <c r="F114" s="34"/>
      <c r="G114" s="34"/>
      <c r="H114" s="36" t="str">
        <f>IF(AND(F114&lt;&gt;"",G114&lt;&gt;""),IF(LEFT(F114,1)*1&lt;LEFT(G114,1)*1,"GAP","OK"),"")</f>
        <v/>
      </c>
      <c r="I114" s="33"/>
    </row>
    <row r="115" spans="1:9" ht="75" customHeight="1">
      <c r="A115" s="37" t="s">
        <v>266</v>
      </c>
      <c r="B115" s="38" t="s">
        <v>267</v>
      </c>
      <c r="C115" s="34" t="s">
        <v>49</v>
      </c>
      <c r="D115" s="35"/>
      <c r="E115" s="35"/>
      <c r="F115" s="34"/>
      <c r="G115" s="34"/>
      <c r="H115" s="36" t="str">
        <f>IF(AND(F115&lt;&gt;"",G115&lt;&gt;""),IF(LEFT(F115,1)*1&lt;LEFT(G115,1)*1,"GAP","OK"),"")</f>
        <v/>
      </c>
      <c r="I115" s="38"/>
    </row>
    <row r="116" spans="1:9" ht="75" customHeight="1">
      <c r="A116" s="32" t="s">
        <v>268</v>
      </c>
      <c r="B116" s="33" t="s">
        <v>269</v>
      </c>
      <c r="C116" s="34" t="s">
        <v>49</v>
      </c>
      <c r="D116" s="35"/>
      <c r="E116" s="35"/>
      <c r="F116" s="34"/>
      <c r="G116" s="34"/>
      <c r="H116" s="36" t="str">
        <f>IF(AND(F116&lt;&gt;"",G116&lt;&gt;""),IF(LEFT(F116,1)*1&lt;LEFT(G116,1)*1,"GAP","OK"),"")</f>
        <v/>
      </c>
      <c r="I116" s="33"/>
    </row>
    <row r="117" spans="1:9" ht="75" customHeight="1">
      <c r="A117" s="29" t="s">
        <v>270</v>
      </c>
      <c r="B117" s="30" t="s">
        <v>271</v>
      </c>
      <c r="C117" s="31"/>
      <c r="D117" s="31"/>
      <c r="E117" s="31"/>
      <c r="F117" s="31"/>
      <c r="G117" s="31"/>
      <c r="H117" s="31"/>
      <c r="I117" s="31"/>
    </row>
    <row r="118" spans="1:9" ht="75" customHeight="1">
      <c r="A118" s="32" t="s">
        <v>272</v>
      </c>
      <c r="B118" s="33" t="s">
        <v>273</v>
      </c>
      <c r="C118" s="34" t="s">
        <v>49</v>
      </c>
      <c r="D118" s="35"/>
      <c r="E118" s="35"/>
      <c r="F118" s="34"/>
      <c r="G118" s="34"/>
      <c r="H118" s="36" t="str">
        <f>IF(AND(F118&lt;&gt;"",G118&lt;&gt;""),IF(LEFT(F118,1)*1&lt;LEFT(G118,1)*1,"GAP","OK"),"")</f>
        <v/>
      </c>
      <c r="I118" s="33"/>
    </row>
    <row r="119" spans="1:9" ht="75" customHeight="1">
      <c r="A119" s="37" t="s">
        <v>274</v>
      </c>
      <c r="B119" s="38" t="s">
        <v>275</v>
      </c>
      <c r="C119" s="34" t="s">
        <v>49</v>
      </c>
      <c r="D119" s="35"/>
      <c r="E119" s="35"/>
      <c r="F119" s="34"/>
      <c r="G119" s="34"/>
      <c r="H119" s="36" t="str">
        <f>IF(AND(F119&lt;&gt;"",G119&lt;&gt;""),IF(LEFT(F119,1)*1&lt;LEFT(G119,1)*1,"GAP","OK"),"")</f>
        <v/>
      </c>
      <c r="I119" s="38"/>
    </row>
    <row r="120" spans="1:9" ht="75" customHeight="1">
      <c r="A120" s="32" t="s">
        <v>276</v>
      </c>
      <c r="B120" s="33" t="s">
        <v>277</v>
      </c>
      <c r="C120" s="34" t="s">
        <v>49</v>
      </c>
      <c r="D120" s="35"/>
      <c r="E120" s="35"/>
      <c r="F120" s="34"/>
      <c r="G120" s="34"/>
      <c r="H120" s="36" t="str">
        <f>IF(AND(F120&lt;&gt;"",G120&lt;&gt;""),IF(LEFT(F120,1)*1&lt;LEFT(G120,1)*1,"GAP","OK"),"")</f>
        <v/>
      </c>
      <c r="I120" s="33"/>
    </row>
    <row r="121" spans="1:9" ht="75" customHeight="1">
      <c r="A121" s="37" t="s">
        <v>278</v>
      </c>
      <c r="B121" s="38" t="s">
        <v>279</v>
      </c>
      <c r="C121" s="34" t="s">
        <v>49</v>
      </c>
      <c r="D121" s="35"/>
      <c r="E121" s="35"/>
      <c r="F121" s="34"/>
      <c r="G121" s="34"/>
      <c r="H121" s="36" t="str">
        <f>IF(AND(F121&lt;&gt;"",G121&lt;&gt;""),IF(LEFT(F121,1)*1&lt;LEFT(G121,1)*1,"GAP","OK"),"")</f>
        <v/>
      </c>
      <c r="I121" s="38"/>
    </row>
    <row r="122" spans="1:9" ht="75" customHeight="1">
      <c r="A122" s="29" t="s">
        <v>280</v>
      </c>
      <c r="B122" s="30" t="s">
        <v>281</v>
      </c>
      <c r="C122" s="31"/>
      <c r="D122" s="31"/>
      <c r="E122" s="31"/>
      <c r="F122" s="31"/>
      <c r="G122" s="31"/>
      <c r="H122" s="31"/>
      <c r="I122" s="31"/>
    </row>
    <row r="123" spans="1:9" ht="75" customHeight="1">
      <c r="A123" s="32" t="s">
        <v>282</v>
      </c>
      <c r="B123" s="33" t="s">
        <v>283</v>
      </c>
      <c r="C123" s="34" t="s">
        <v>49</v>
      </c>
      <c r="D123" s="35"/>
      <c r="E123" s="35"/>
      <c r="F123" s="34"/>
      <c r="G123" s="34"/>
      <c r="H123" s="36" t="str">
        <f>IF(AND(F123&lt;&gt;"",G123&lt;&gt;""),IF(LEFT(F123,1)*1&lt;LEFT(G123,1)*1,"GAP","OK"),"")</f>
        <v/>
      </c>
      <c r="I123" s="33"/>
    </row>
    <row r="124" spans="1:9" ht="75" customHeight="1">
      <c r="A124" s="37" t="s">
        <v>284</v>
      </c>
      <c r="B124" s="38" t="s">
        <v>285</v>
      </c>
      <c r="C124" s="34" t="s">
        <v>49</v>
      </c>
      <c r="D124" s="35"/>
      <c r="E124" s="35"/>
      <c r="F124" s="34"/>
      <c r="G124" s="34"/>
      <c r="H124" s="36" t="str">
        <f>IF(AND(F124&lt;&gt;"",G124&lt;&gt;""),IF(LEFT(F124,1)*1&lt;LEFT(G124,1)*1,"GAP","OK"),"")</f>
        <v/>
      </c>
      <c r="I124" s="38"/>
    </row>
    <row r="125" spans="1:9" ht="75" customHeight="1">
      <c r="A125" s="29" t="s">
        <v>286</v>
      </c>
      <c r="B125" s="30" t="s">
        <v>287</v>
      </c>
      <c r="C125" s="31"/>
      <c r="D125" s="31"/>
      <c r="E125" s="31"/>
      <c r="F125" s="31"/>
      <c r="G125" s="31"/>
      <c r="H125" s="31"/>
      <c r="I125" s="31"/>
    </row>
    <row r="126" spans="1:9" ht="75" customHeight="1">
      <c r="A126" s="32" t="s">
        <v>288</v>
      </c>
      <c r="B126" s="33" t="s">
        <v>289</v>
      </c>
      <c r="C126" s="34" t="s">
        <v>49</v>
      </c>
      <c r="D126" s="35"/>
      <c r="E126" s="35"/>
      <c r="F126" s="34"/>
      <c r="G126" s="34"/>
      <c r="H126" s="36" t="str">
        <f>IF(AND(F126&lt;&gt;"",G126&lt;&gt;""),IF(LEFT(F126,1)*1&lt;LEFT(G126,1)*1,"GAP","OK"),"")</f>
        <v/>
      </c>
      <c r="I126" s="33"/>
    </row>
    <row r="127" spans="1:9" ht="75" customHeight="1">
      <c r="A127" s="37" t="s">
        <v>290</v>
      </c>
      <c r="B127" s="38" t="s">
        <v>291</v>
      </c>
      <c r="C127" s="34" t="s">
        <v>49</v>
      </c>
      <c r="D127" s="35"/>
      <c r="E127" s="35"/>
      <c r="F127" s="34"/>
      <c r="G127" s="34"/>
      <c r="H127" s="36" t="str">
        <f>IF(AND(F127&lt;&gt;"",G127&lt;&gt;""),IF(LEFT(F127,1)*1&lt;LEFT(G127,1)*1,"GAP","OK"),"")</f>
        <v/>
      </c>
      <c r="I127" s="38"/>
    </row>
    <row r="128" spans="1:9" ht="75" customHeight="1">
      <c r="A128" s="26" t="s">
        <v>292</v>
      </c>
      <c r="B128" s="27" t="s">
        <v>293</v>
      </c>
      <c r="C128" s="28"/>
      <c r="D128" s="28"/>
      <c r="E128" s="28"/>
      <c r="F128" s="28"/>
      <c r="G128" s="28"/>
      <c r="H128" s="28"/>
      <c r="I128" s="28"/>
    </row>
    <row r="129" spans="1:9" ht="75" customHeight="1">
      <c r="A129" s="29" t="s">
        <v>294</v>
      </c>
      <c r="B129" s="30" t="s">
        <v>295</v>
      </c>
      <c r="C129" s="31"/>
      <c r="D129" s="31"/>
      <c r="E129" s="31"/>
      <c r="F129" s="31"/>
      <c r="G129" s="31"/>
      <c r="H129" s="31"/>
      <c r="I129" s="31"/>
    </row>
    <row r="130" spans="1:9" ht="75" customHeight="1">
      <c r="A130" s="32" t="s">
        <v>296</v>
      </c>
      <c r="B130" s="33" t="s">
        <v>297</v>
      </c>
      <c r="C130" s="34" t="s">
        <v>49</v>
      </c>
      <c r="D130" s="35"/>
      <c r="E130" s="35"/>
      <c r="F130" s="34"/>
      <c r="G130" s="34"/>
      <c r="H130" s="36" t="str">
        <f t="shared" ref="H130:H135" si="7">IF(AND(F130&lt;&gt;"",G130&lt;&gt;""),IF(LEFT(F130,1)*1&lt;LEFT(G130,1)*1,"GAP","OK"),"")</f>
        <v/>
      </c>
      <c r="I130" s="33"/>
    </row>
    <row r="131" spans="1:9" ht="75" customHeight="1">
      <c r="A131" s="37" t="s">
        <v>298</v>
      </c>
      <c r="B131" s="38" t="s">
        <v>299</v>
      </c>
      <c r="C131" s="34" t="s">
        <v>49</v>
      </c>
      <c r="D131" s="35"/>
      <c r="E131" s="35"/>
      <c r="F131" s="34"/>
      <c r="G131" s="34"/>
      <c r="H131" s="36" t="str">
        <f t="shared" si="7"/>
        <v/>
      </c>
      <c r="I131" s="38"/>
    </row>
    <row r="132" spans="1:9" ht="75" customHeight="1">
      <c r="A132" s="32" t="s">
        <v>300</v>
      </c>
      <c r="B132" s="33" t="s">
        <v>301</v>
      </c>
      <c r="C132" s="34" t="s">
        <v>49</v>
      </c>
      <c r="D132" s="35"/>
      <c r="E132" s="35"/>
      <c r="F132" s="34"/>
      <c r="G132" s="34"/>
      <c r="H132" s="36" t="str">
        <f t="shared" si="7"/>
        <v/>
      </c>
      <c r="I132" s="33"/>
    </row>
    <row r="133" spans="1:9" ht="75" customHeight="1">
      <c r="A133" s="37" t="s">
        <v>302</v>
      </c>
      <c r="B133" s="38" t="s">
        <v>303</v>
      </c>
      <c r="C133" s="34" t="s">
        <v>49</v>
      </c>
      <c r="D133" s="35"/>
      <c r="E133" s="35"/>
      <c r="F133" s="34"/>
      <c r="G133" s="34"/>
      <c r="H133" s="36" t="str">
        <f t="shared" si="7"/>
        <v/>
      </c>
      <c r="I133" s="38"/>
    </row>
    <row r="134" spans="1:9" ht="75" customHeight="1">
      <c r="A134" s="32" t="s">
        <v>304</v>
      </c>
      <c r="B134" s="33" t="s">
        <v>305</v>
      </c>
      <c r="C134" s="34" t="s">
        <v>49</v>
      </c>
      <c r="D134" s="35"/>
      <c r="E134" s="35"/>
      <c r="F134" s="34"/>
      <c r="G134" s="34"/>
      <c r="H134" s="36" t="str">
        <f t="shared" si="7"/>
        <v/>
      </c>
      <c r="I134" s="33"/>
    </row>
    <row r="135" spans="1:9" ht="75" customHeight="1">
      <c r="A135" s="37" t="s">
        <v>306</v>
      </c>
      <c r="B135" s="38" t="s">
        <v>307</v>
      </c>
      <c r="C135" s="34" t="s">
        <v>49</v>
      </c>
      <c r="D135" s="35"/>
      <c r="E135" s="35"/>
      <c r="F135" s="34"/>
      <c r="G135" s="34"/>
      <c r="H135" s="36" t="str">
        <f t="shared" si="7"/>
        <v/>
      </c>
      <c r="I135" s="38"/>
    </row>
    <row r="136" spans="1:9" ht="75" customHeight="1">
      <c r="A136" s="29" t="s">
        <v>308</v>
      </c>
      <c r="B136" s="30" t="s">
        <v>309</v>
      </c>
      <c r="C136" s="31"/>
      <c r="D136" s="31"/>
      <c r="E136" s="31"/>
      <c r="F136" s="31"/>
      <c r="G136" s="31"/>
      <c r="H136" s="31"/>
      <c r="I136" s="31"/>
    </row>
    <row r="137" spans="1:9" ht="75" customHeight="1">
      <c r="A137" s="32" t="s">
        <v>310</v>
      </c>
      <c r="B137" s="33" t="s">
        <v>311</v>
      </c>
      <c r="C137" s="34" t="s">
        <v>49</v>
      </c>
      <c r="D137" s="35"/>
      <c r="E137" s="35"/>
      <c r="F137" s="34"/>
      <c r="G137" s="34"/>
      <c r="H137" s="36" t="str">
        <f>IF(AND(F137&lt;&gt;"",G137&lt;&gt;""),IF(LEFT(F137,1)*1&lt;LEFT(G137,1)*1,"GAP","OK"),"")</f>
        <v/>
      </c>
      <c r="I137" s="33"/>
    </row>
    <row r="138" spans="1:9" ht="75" customHeight="1">
      <c r="A138" s="37" t="s">
        <v>312</v>
      </c>
      <c r="B138" s="38" t="s">
        <v>313</v>
      </c>
      <c r="C138" s="34" t="s">
        <v>49</v>
      </c>
      <c r="D138" s="35"/>
      <c r="E138" s="35"/>
      <c r="F138" s="34"/>
      <c r="G138" s="34"/>
      <c r="H138" s="36" t="str">
        <f>IF(AND(F138&lt;&gt;"",G138&lt;&gt;""),IF(LEFT(F138,1)*1&lt;LEFT(G138,1)*1,"GAP","OK"),"")</f>
        <v/>
      </c>
      <c r="I138" s="38"/>
    </row>
    <row r="141" spans="1:9" ht="15" customHeight="1">
      <c r="A141" s="1" t="s">
        <v>314</v>
      </c>
      <c r="B141" s="22"/>
      <c r="C141" s="22"/>
      <c r="D141" s="22"/>
      <c r="E141" s="22"/>
      <c r="F141" s="22"/>
      <c r="G141" s="22"/>
      <c r="H141" s="22"/>
      <c r="I141" s="22"/>
    </row>
    <row r="142" spans="1:9" ht="15" customHeight="1">
      <c r="A142" s="2" t="s">
        <v>315</v>
      </c>
      <c r="B142" s="3" t="s">
        <v>316</v>
      </c>
      <c r="C142" s="22"/>
      <c r="D142" s="22"/>
      <c r="E142" s="22"/>
      <c r="F142" s="22"/>
      <c r="G142" s="22"/>
      <c r="H142" s="22"/>
      <c r="I142" s="22"/>
    </row>
    <row r="143" spans="1:9" ht="15" customHeight="1">
      <c r="A143" s="2" t="s">
        <v>317</v>
      </c>
      <c r="B143" s="3" t="s">
        <v>318</v>
      </c>
      <c r="C143" s="22"/>
      <c r="D143" s="22"/>
      <c r="E143" s="22"/>
      <c r="F143" s="22"/>
      <c r="G143" s="22"/>
      <c r="H143" s="22"/>
      <c r="I143" s="22"/>
    </row>
    <row r="144" spans="1:9" ht="15" customHeight="1">
      <c r="A144" s="2" t="s">
        <v>319</v>
      </c>
      <c r="B144" s="3" t="s">
        <v>320</v>
      </c>
      <c r="C144" s="22"/>
      <c r="D144" s="22"/>
      <c r="E144" s="22"/>
      <c r="F144" s="22"/>
      <c r="G144" s="22"/>
      <c r="H144" s="22"/>
      <c r="I144" s="22"/>
    </row>
    <row r="145" spans="1:2" ht="15" customHeight="1">
      <c r="A145" s="2" t="s">
        <v>321</v>
      </c>
      <c r="B145" s="3" t="s">
        <v>322</v>
      </c>
    </row>
    <row r="146" spans="1:2" ht="15" customHeight="1">
      <c r="A146" s="2" t="s">
        <v>323</v>
      </c>
      <c r="B146" s="3" t="s">
        <v>324</v>
      </c>
    </row>
  </sheetData>
  <autoFilter ref="A2:I138" xr:uid="{00000000-0009-0000-0000-000001000000}"/>
  <mergeCells count="1">
    <mergeCell ref="A1:I1"/>
  </mergeCells>
  <dataValidations count="2">
    <dataValidation type="list" allowBlank="1" error="Please select Yes or No" sqref="C5:C9 C11:C17 C19:C22 C24:C25 C27:C29 C31:C40 C43:C49 C51:C60 C62:C65 C68:C73 C75:C76 C78:C81 C83:C88 C90:C93 C96:C100 C102:C109 C112:C116 C118:C121 C123:C124 C126:C127 C130:C135 C137:C138" xr:uid="{00000000-0002-0000-0100-000000000000}">
      <formula1>"Yes,No"</formula1>
      <formula2>0</formula2>
    </dataValidation>
    <dataValidation type="list" allowBlank="1" sqref="F5:G9 F11:G17 F19:G22 F24:G25 F27:G29 F31:G40 F43:G49 F51:G60 F62:G65 F68:G73 F75:G76 F78:G81 F83:G88 F90:G93 F96:G100 F102:G109 F112:G116 F118:G121 F123:G124 F126:G127 F130:G135 F137:G138" xr:uid="{00000000-0002-0000-0100-000001000000}">
      <formula1>"1 - Ad Hoc,2 - Defined,3 - Consistently Implemented,4 - Managed and Measurable,5 - Optimized"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5"/>
  <sheetViews>
    <sheetView workbookViewId="0">
      <pane ySplit="2" topLeftCell="A31" activePane="bottomLeft" state="frozen"/>
      <selection pane="bottomLeft" activeCell="E7" sqref="E7"/>
    </sheetView>
  </sheetViews>
  <sheetFormatPr defaultRowHeight="15"/>
  <cols>
    <col min="1" max="1" width="10" style="6" customWidth="1"/>
    <col min="2" max="2" width="16" style="6" bestFit="1" customWidth="1"/>
    <col min="3" max="3" width="45" style="6" customWidth="1"/>
    <col min="4" max="4" width="14" style="6" customWidth="1"/>
    <col min="5" max="5" width="25" style="6" customWidth="1"/>
    <col min="6" max="6" width="11" style="6" customWidth="1"/>
    <col min="7" max="7" width="30" style="6" customWidth="1"/>
    <col min="8" max="8" width="10" style="21" customWidth="1"/>
    <col min="9" max="9" width="10" style="17" customWidth="1"/>
    <col min="10" max="11" width="25" style="6" customWidth="1"/>
    <col min="12" max="12" width="40" style="6" customWidth="1"/>
  </cols>
  <sheetData>
    <row r="1" spans="1:12" ht="16.5" customHeight="1">
      <c r="A1" s="39" t="s">
        <v>325</v>
      </c>
      <c r="B1" s="24"/>
      <c r="C1" s="24"/>
      <c r="D1" s="24"/>
      <c r="E1" s="24"/>
      <c r="F1" s="24"/>
      <c r="G1" s="24"/>
      <c r="H1" s="40"/>
      <c r="I1" s="41"/>
      <c r="J1" s="24"/>
      <c r="K1" s="24"/>
      <c r="L1" s="24"/>
    </row>
    <row r="2" spans="1:12" ht="25.5" customHeight="1">
      <c r="A2" s="42" t="s">
        <v>326</v>
      </c>
      <c r="B2" s="42" t="s">
        <v>327</v>
      </c>
      <c r="C2" s="42" t="s">
        <v>35</v>
      </c>
      <c r="D2" s="42" t="s">
        <v>328</v>
      </c>
      <c r="E2" s="42" t="s">
        <v>329</v>
      </c>
      <c r="F2" s="42" t="s">
        <v>330</v>
      </c>
      <c r="G2" s="42" t="s">
        <v>331</v>
      </c>
      <c r="H2" s="18" t="s">
        <v>332</v>
      </c>
      <c r="I2" s="16" t="s">
        <v>333</v>
      </c>
      <c r="J2" s="42" t="s">
        <v>334</v>
      </c>
      <c r="K2" s="42" t="s">
        <v>335</v>
      </c>
      <c r="L2" s="42" t="s">
        <v>336</v>
      </c>
    </row>
    <row r="3" spans="1:12" ht="27.95" customHeight="1">
      <c r="A3" s="43" t="s">
        <v>337</v>
      </c>
      <c r="B3" s="44"/>
      <c r="C3" s="44"/>
      <c r="D3" s="44"/>
      <c r="E3" s="44"/>
      <c r="F3" s="44"/>
      <c r="G3" s="44"/>
      <c r="H3" s="44"/>
      <c r="I3" s="44"/>
      <c r="J3" s="44"/>
      <c r="K3" s="44"/>
      <c r="L3" s="45"/>
    </row>
    <row r="4" spans="1:12" ht="24" customHeight="1">
      <c r="A4" s="33" t="s">
        <v>338</v>
      </c>
      <c r="B4" s="33" t="s">
        <v>47</v>
      </c>
      <c r="C4" s="33" t="s">
        <v>48</v>
      </c>
      <c r="D4" s="33" t="s">
        <v>339</v>
      </c>
      <c r="E4" s="33" t="s">
        <v>340</v>
      </c>
      <c r="F4" s="33" t="s">
        <v>341</v>
      </c>
      <c r="G4" s="33" t="s">
        <v>342</v>
      </c>
      <c r="H4" s="19" t="s">
        <v>343</v>
      </c>
      <c r="I4" s="5" t="s">
        <v>344</v>
      </c>
      <c r="J4" s="33" t="s">
        <v>345</v>
      </c>
      <c r="K4" s="33" t="s">
        <v>346</v>
      </c>
      <c r="L4" s="33" t="s">
        <v>347</v>
      </c>
    </row>
    <row r="5" spans="1:12" ht="36" customHeight="1">
      <c r="A5" s="46" t="s">
        <v>338</v>
      </c>
      <c r="B5" s="46" t="s">
        <v>50</v>
      </c>
      <c r="C5" s="46" t="s">
        <v>51</v>
      </c>
      <c r="D5" s="46" t="s">
        <v>339</v>
      </c>
      <c r="E5" s="46" t="s">
        <v>340</v>
      </c>
      <c r="F5" s="46" t="s">
        <v>348</v>
      </c>
      <c r="G5" s="46" t="s">
        <v>349</v>
      </c>
      <c r="H5" s="19" t="s">
        <v>343</v>
      </c>
      <c r="I5" s="4" t="s">
        <v>350</v>
      </c>
      <c r="J5" s="46" t="s">
        <v>345</v>
      </c>
      <c r="K5" s="46" t="s">
        <v>346</v>
      </c>
      <c r="L5" s="46" t="s">
        <v>347</v>
      </c>
    </row>
    <row r="6" spans="1:12" ht="36" customHeight="1">
      <c r="A6" s="33" t="s">
        <v>338</v>
      </c>
      <c r="B6" s="33" t="s">
        <v>76</v>
      </c>
      <c r="C6" s="33" t="s">
        <v>77</v>
      </c>
      <c r="D6" s="33" t="s">
        <v>339</v>
      </c>
      <c r="E6" s="33" t="s">
        <v>351</v>
      </c>
      <c r="F6" s="33" t="s">
        <v>352</v>
      </c>
      <c r="G6" s="33" t="s">
        <v>353</v>
      </c>
      <c r="H6" s="19" t="s">
        <v>343</v>
      </c>
      <c r="I6" s="5" t="s">
        <v>344</v>
      </c>
      <c r="J6" s="33" t="s">
        <v>345</v>
      </c>
      <c r="K6" s="33" t="s">
        <v>346</v>
      </c>
      <c r="L6" s="33" t="s">
        <v>347</v>
      </c>
    </row>
    <row r="7" spans="1:12" ht="36" customHeight="1">
      <c r="A7" s="46" t="s">
        <v>338</v>
      </c>
      <c r="B7" s="46" t="s">
        <v>78</v>
      </c>
      <c r="C7" s="46" t="s">
        <v>79</v>
      </c>
      <c r="D7" s="46" t="s">
        <v>339</v>
      </c>
      <c r="E7" s="46" t="s">
        <v>351</v>
      </c>
      <c r="F7" s="46" t="s">
        <v>352</v>
      </c>
      <c r="G7" s="46" t="s">
        <v>353</v>
      </c>
      <c r="H7" s="19" t="s">
        <v>343</v>
      </c>
      <c r="I7" s="5" t="s">
        <v>344</v>
      </c>
      <c r="J7" s="46" t="s">
        <v>345</v>
      </c>
      <c r="K7" s="46" t="s">
        <v>346</v>
      </c>
      <c r="L7" s="46" t="s">
        <v>347</v>
      </c>
    </row>
    <row r="8" spans="1:12" ht="36" customHeight="1">
      <c r="A8" s="33" t="s">
        <v>338</v>
      </c>
      <c r="B8" s="33" t="s">
        <v>80</v>
      </c>
      <c r="C8" s="33" t="s">
        <v>354</v>
      </c>
      <c r="D8" s="33" t="s">
        <v>339</v>
      </c>
      <c r="E8" s="33" t="s">
        <v>351</v>
      </c>
      <c r="F8" s="33" t="s">
        <v>352</v>
      </c>
      <c r="G8" s="33" t="s">
        <v>353</v>
      </c>
      <c r="H8" s="19" t="s">
        <v>343</v>
      </c>
      <c r="I8" s="5" t="s">
        <v>344</v>
      </c>
      <c r="J8" s="33" t="s">
        <v>345</v>
      </c>
      <c r="K8" s="33" t="s">
        <v>346</v>
      </c>
      <c r="L8" s="33" t="s">
        <v>347</v>
      </c>
    </row>
    <row r="9" spans="1:12" ht="24" customHeight="1">
      <c r="A9" s="46" t="s">
        <v>338</v>
      </c>
      <c r="B9" s="46" t="s">
        <v>82</v>
      </c>
      <c r="C9" s="46" t="s">
        <v>83</v>
      </c>
      <c r="D9" s="46" t="s">
        <v>339</v>
      </c>
      <c r="E9" s="46" t="s">
        <v>351</v>
      </c>
      <c r="F9" s="46" t="s">
        <v>355</v>
      </c>
      <c r="G9" s="46" t="s">
        <v>356</v>
      </c>
      <c r="H9" s="20" t="s">
        <v>357</v>
      </c>
      <c r="I9" s="4" t="s">
        <v>350</v>
      </c>
      <c r="J9" s="46" t="s">
        <v>358</v>
      </c>
      <c r="K9" s="46" t="s">
        <v>346</v>
      </c>
      <c r="L9" s="46" t="s">
        <v>347</v>
      </c>
    </row>
    <row r="10" spans="1:12" ht="27.95" customHeight="1">
      <c r="A10" s="43" t="s">
        <v>359</v>
      </c>
      <c r="B10" s="44"/>
      <c r="C10" s="44"/>
      <c r="D10" s="44"/>
      <c r="E10" s="44"/>
      <c r="F10" s="44"/>
      <c r="G10" s="44"/>
      <c r="H10" s="44"/>
      <c r="I10" s="44"/>
      <c r="J10" s="44"/>
      <c r="K10" s="44"/>
      <c r="L10" s="45"/>
    </row>
    <row r="11" spans="1:12" ht="36" customHeight="1">
      <c r="A11" s="33" t="s">
        <v>360</v>
      </c>
      <c r="B11" s="33" t="s">
        <v>52</v>
      </c>
      <c r="C11" s="33" t="s">
        <v>361</v>
      </c>
      <c r="D11" s="33" t="s">
        <v>339</v>
      </c>
      <c r="E11" s="33" t="s">
        <v>340</v>
      </c>
      <c r="F11" s="33" t="s">
        <v>362</v>
      </c>
      <c r="G11" s="33" t="s">
        <v>363</v>
      </c>
      <c r="H11" s="20" t="s">
        <v>357</v>
      </c>
      <c r="I11" s="4" t="s">
        <v>350</v>
      </c>
      <c r="J11" s="33" t="s">
        <v>364</v>
      </c>
      <c r="K11" s="33" t="s">
        <v>346</v>
      </c>
      <c r="L11" s="33" t="s">
        <v>365</v>
      </c>
    </row>
    <row r="12" spans="1:12" ht="36" customHeight="1">
      <c r="A12" s="46" t="s">
        <v>360</v>
      </c>
      <c r="B12" s="46" t="s">
        <v>86</v>
      </c>
      <c r="C12" s="46" t="s">
        <v>87</v>
      </c>
      <c r="D12" s="46" t="s">
        <v>339</v>
      </c>
      <c r="E12" s="46" t="s">
        <v>366</v>
      </c>
      <c r="F12" s="46" t="s">
        <v>367</v>
      </c>
      <c r="G12" s="46" t="s">
        <v>368</v>
      </c>
      <c r="H12" s="19" t="s">
        <v>343</v>
      </c>
      <c r="I12" s="5" t="s">
        <v>344</v>
      </c>
      <c r="J12" s="46" t="s">
        <v>345</v>
      </c>
      <c r="K12" s="46" t="s">
        <v>346</v>
      </c>
      <c r="L12" s="46" t="s">
        <v>365</v>
      </c>
    </row>
    <row r="13" spans="1:12" ht="48" customHeight="1">
      <c r="A13" s="33" t="s">
        <v>360</v>
      </c>
      <c r="B13" s="33" t="s">
        <v>88</v>
      </c>
      <c r="C13" s="33" t="s">
        <v>89</v>
      </c>
      <c r="D13" s="33" t="s">
        <v>339</v>
      </c>
      <c r="E13" s="33" t="s">
        <v>366</v>
      </c>
      <c r="F13" s="33" t="s">
        <v>367</v>
      </c>
      <c r="G13" s="33" t="s">
        <v>368</v>
      </c>
      <c r="H13" s="19" t="s">
        <v>343</v>
      </c>
      <c r="I13" s="4" t="s">
        <v>350</v>
      </c>
      <c r="J13" s="33" t="s">
        <v>345</v>
      </c>
      <c r="K13" s="33" t="s">
        <v>346</v>
      </c>
      <c r="L13" s="33" t="s">
        <v>365</v>
      </c>
    </row>
    <row r="14" spans="1:12" ht="27.95" customHeight="1">
      <c r="A14" s="43" t="s">
        <v>369</v>
      </c>
      <c r="B14" s="44"/>
      <c r="C14" s="44"/>
      <c r="D14" s="44"/>
      <c r="E14" s="44"/>
      <c r="F14" s="44"/>
      <c r="G14" s="44"/>
      <c r="H14" s="44"/>
      <c r="I14" s="44"/>
      <c r="J14" s="44"/>
      <c r="K14" s="44"/>
      <c r="L14" s="45"/>
    </row>
    <row r="15" spans="1:12" ht="36" customHeight="1">
      <c r="A15" s="33" t="s">
        <v>370</v>
      </c>
      <c r="B15" s="33" t="s">
        <v>54</v>
      </c>
      <c r="C15" s="33" t="s">
        <v>55</v>
      </c>
      <c r="D15" s="33" t="s">
        <v>339</v>
      </c>
      <c r="E15" s="33" t="s">
        <v>340</v>
      </c>
      <c r="F15" s="33" t="s">
        <v>371</v>
      </c>
      <c r="G15" s="33" t="s">
        <v>372</v>
      </c>
      <c r="H15" s="20" t="s">
        <v>357</v>
      </c>
      <c r="I15" s="4" t="s">
        <v>350</v>
      </c>
      <c r="J15" s="33" t="s">
        <v>373</v>
      </c>
      <c r="K15" s="33" t="s">
        <v>346</v>
      </c>
      <c r="L15" s="33" t="s">
        <v>374</v>
      </c>
    </row>
    <row r="16" spans="1:12" ht="36" customHeight="1">
      <c r="A16" s="46" t="s">
        <v>370</v>
      </c>
      <c r="B16" s="46" t="s">
        <v>56</v>
      </c>
      <c r="C16" s="46" t="s">
        <v>57</v>
      </c>
      <c r="D16" s="46" t="s">
        <v>339</v>
      </c>
      <c r="E16" s="46" t="s">
        <v>340</v>
      </c>
      <c r="F16" s="46" t="s">
        <v>371</v>
      </c>
      <c r="G16" s="46" t="s">
        <v>372</v>
      </c>
      <c r="H16" s="20" t="s">
        <v>357</v>
      </c>
      <c r="I16" s="4" t="s">
        <v>350</v>
      </c>
      <c r="J16" s="46" t="s">
        <v>373</v>
      </c>
      <c r="K16" s="46" t="s">
        <v>346</v>
      </c>
      <c r="L16" s="46" t="s">
        <v>374</v>
      </c>
    </row>
    <row r="17" spans="1:12" ht="24" customHeight="1">
      <c r="A17" s="33" t="s">
        <v>370</v>
      </c>
      <c r="B17" s="33" t="s">
        <v>92</v>
      </c>
      <c r="C17" s="33" t="s">
        <v>93</v>
      </c>
      <c r="D17" s="33" t="s">
        <v>339</v>
      </c>
      <c r="E17" s="33" t="s">
        <v>375</v>
      </c>
      <c r="F17" s="33" t="s">
        <v>376</v>
      </c>
      <c r="G17" s="33" t="s">
        <v>377</v>
      </c>
      <c r="H17" s="20" t="s">
        <v>357</v>
      </c>
      <c r="I17" s="5" t="s">
        <v>344</v>
      </c>
      <c r="J17" s="33" t="s">
        <v>345</v>
      </c>
      <c r="K17" s="33" t="s">
        <v>346</v>
      </c>
      <c r="L17" s="33" t="s">
        <v>374</v>
      </c>
    </row>
    <row r="18" spans="1:12" ht="36" customHeight="1">
      <c r="A18" s="46" t="s">
        <v>370</v>
      </c>
      <c r="B18" s="46" t="s">
        <v>94</v>
      </c>
      <c r="C18" s="46" t="s">
        <v>95</v>
      </c>
      <c r="D18" s="46" t="s">
        <v>339</v>
      </c>
      <c r="E18" s="46" t="s">
        <v>375</v>
      </c>
      <c r="F18" s="46" t="s">
        <v>378</v>
      </c>
      <c r="G18" s="46" t="s">
        <v>377</v>
      </c>
      <c r="H18" s="19" t="s">
        <v>343</v>
      </c>
      <c r="I18" s="5" t="s">
        <v>344</v>
      </c>
      <c r="J18" s="46" t="s">
        <v>345</v>
      </c>
      <c r="K18" s="46" t="s">
        <v>346</v>
      </c>
      <c r="L18" s="46" t="s">
        <v>374</v>
      </c>
    </row>
    <row r="19" spans="1:12" ht="36" customHeight="1">
      <c r="A19" s="33" t="s">
        <v>370</v>
      </c>
      <c r="B19" s="33" t="s">
        <v>96</v>
      </c>
      <c r="C19" s="33" t="s">
        <v>97</v>
      </c>
      <c r="D19" s="33" t="s">
        <v>339</v>
      </c>
      <c r="E19" s="33" t="s">
        <v>375</v>
      </c>
      <c r="F19" s="33" t="s">
        <v>378</v>
      </c>
      <c r="G19" s="33" t="s">
        <v>377</v>
      </c>
      <c r="H19" s="19" t="s">
        <v>343</v>
      </c>
      <c r="I19" s="5" t="s">
        <v>344</v>
      </c>
      <c r="J19" s="33" t="s">
        <v>345</v>
      </c>
      <c r="K19" s="33" t="s">
        <v>346</v>
      </c>
      <c r="L19" s="33" t="s">
        <v>374</v>
      </c>
    </row>
    <row r="20" spans="1:12" ht="27.95" customHeight="1">
      <c r="A20" s="43" t="s">
        <v>379</v>
      </c>
      <c r="B20" s="44"/>
      <c r="C20" s="44"/>
      <c r="D20" s="44"/>
      <c r="E20" s="44"/>
      <c r="F20" s="44"/>
      <c r="G20" s="44"/>
      <c r="H20" s="44"/>
      <c r="I20" s="44"/>
      <c r="J20" s="44"/>
      <c r="K20" s="44"/>
      <c r="L20" s="45"/>
    </row>
    <row r="21" spans="1:12" ht="36" customHeight="1">
      <c r="A21" s="33" t="s">
        <v>380</v>
      </c>
      <c r="B21" s="33" t="s">
        <v>60</v>
      </c>
      <c r="C21" s="33" t="s">
        <v>381</v>
      </c>
      <c r="D21" s="33" t="s">
        <v>339</v>
      </c>
      <c r="E21" s="33" t="s">
        <v>382</v>
      </c>
      <c r="F21" s="33" t="s">
        <v>383</v>
      </c>
      <c r="G21" s="33" t="s">
        <v>384</v>
      </c>
      <c r="H21" s="19" t="s">
        <v>343</v>
      </c>
      <c r="I21" s="5" t="s">
        <v>344</v>
      </c>
      <c r="J21" s="33" t="s">
        <v>345</v>
      </c>
      <c r="K21" s="33" t="s">
        <v>385</v>
      </c>
      <c r="L21" s="33" t="s">
        <v>386</v>
      </c>
    </row>
    <row r="22" spans="1:12" ht="24" customHeight="1">
      <c r="A22" s="46" t="s">
        <v>380</v>
      </c>
      <c r="B22" s="46" t="s">
        <v>62</v>
      </c>
      <c r="C22" s="46" t="s">
        <v>63</v>
      </c>
      <c r="D22" s="46" t="s">
        <v>339</v>
      </c>
      <c r="E22" s="46" t="s">
        <v>382</v>
      </c>
      <c r="F22" s="46" t="s">
        <v>383</v>
      </c>
      <c r="G22" s="46" t="s">
        <v>384</v>
      </c>
      <c r="H22" s="19" t="s">
        <v>343</v>
      </c>
      <c r="I22" s="5" t="s">
        <v>344</v>
      </c>
      <c r="J22" s="46" t="s">
        <v>345</v>
      </c>
      <c r="K22" s="46" t="s">
        <v>385</v>
      </c>
      <c r="L22" s="46" t="s">
        <v>386</v>
      </c>
    </row>
    <row r="23" spans="1:12" ht="36" customHeight="1">
      <c r="A23" s="33" t="s">
        <v>380</v>
      </c>
      <c r="B23" s="33" t="s">
        <v>64</v>
      </c>
      <c r="C23" s="33" t="s">
        <v>65</v>
      </c>
      <c r="D23" s="33" t="s">
        <v>339</v>
      </c>
      <c r="E23" s="33" t="s">
        <v>382</v>
      </c>
      <c r="F23" s="33" t="s">
        <v>387</v>
      </c>
      <c r="G23" s="33" t="s">
        <v>388</v>
      </c>
      <c r="H23" s="20" t="s">
        <v>357</v>
      </c>
      <c r="I23" s="5" t="s">
        <v>344</v>
      </c>
      <c r="J23" s="33" t="s">
        <v>389</v>
      </c>
      <c r="K23" s="33" t="s">
        <v>385</v>
      </c>
      <c r="L23" s="33" t="s">
        <v>386</v>
      </c>
    </row>
    <row r="24" spans="1:12" ht="24" customHeight="1">
      <c r="A24" s="46" t="s">
        <v>380</v>
      </c>
      <c r="B24" s="46" t="s">
        <v>66</v>
      </c>
      <c r="C24" s="46" t="s">
        <v>67</v>
      </c>
      <c r="D24" s="46" t="s">
        <v>339</v>
      </c>
      <c r="E24" s="46" t="s">
        <v>382</v>
      </c>
      <c r="F24" s="46" t="s">
        <v>383</v>
      </c>
      <c r="G24" s="46" t="s">
        <v>384</v>
      </c>
      <c r="H24" s="19" t="s">
        <v>343</v>
      </c>
      <c r="I24" s="5" t="s">
        <v>344</v>
      </c>
      <c r="J24" s="46" t="s">
        <v>345</v>
      </c>
      <c r="K24" s="46" t="s">
        <v>385</v>
      </c>
      <c r="L24" s="46" t="s">
        <v>386</v>
      </c>
    </row>
    <row r="25" spans="1:12" ht="36" customHeight="1">
      <c r="A25" s="33" t="s">
        <v>380</v>
      </c>
      <c r="B25" s="33" t="s">
        <v>68</v>
      </c>
      <c r="C25" s="33" t="s">
        <v>69</v>
      </c>
      <c r="D25" s="33" t="s">
        <v>339</v>
      </c>
      <c r="E25" s="33" t="s">
        <v>382</v>
      </c>
      <c r="F25" s="33" t="s">
        <v>390</v>
      </c>
      <c r="G25" s="33" t="s">
        <v>391</v>
      </c>
      <c r="H25" s="20" t="s">
        <v>357</v>
      </c>
      <c r="I25" s="4" t="s">
        <v>350</v>
      </c>
      <c r="J25" s="33" t="s">
        <v>392</v>
      </c>
      <c r="K25" s="33" t="s">
        <v>385</v>
      </c>
      <c r="L25" s="33" t="s">
        <v>386</v>
      </c>
    </row>
    <row r="26" spans="1:12" ht="36" customHeight="1">
      <c r="A26" s="46" t="s">
        <v>380</v>
      </c>
      <c r="B26" s="46" t="s">
        <v>70</v>
      </c>
      <c r="C26" s="46" t="s">
        <v>71</v>
      </c>
      <c r="D26" s="46" t="s">
        <v>339</v>
      </c>
      <c r="E26" s="46" t="s">
        <v>382</v>
      </c>
      <c r="F26" s="46" t="s">
        <v>393</v>
      </c>
      <c r="G26" s="46" t="s">
        <v>394</v>
      </c>
      <c r="H26" s="20" t="s">
        <v>357</v>
      </c>
      <c r="I26" s="5" t="s">
        <v>344</v>
      </c>
      <c r="J26" s="46" t="s">
        <v>389</v>
      </c>
      <c r="K26" s="46" t="s">
        <v>385</v>
      </c>
      <c r="L26" s="46" t="s">
        <v>386</v>
      </c>
    </row>
    <row r="27" spans="1:12" ht="36" customHeight="1">
      <c r="A27" s="33" t="s">
        <v>380</v>
      </c>
      <c r="B27" s="33" t="s">
        <v>72</v>
      </c>
      <c r="C27" s="33" t="s">
        <v>73</v>
      </c>
      <c r="D27" s="33" t="s">
        <v>339</v>
      </c>
      <c r="E27" s="33" t="s">
        <v>382</v>
      </c>
      <c r="F27" s="33" t="s">
        <v>383</v>
      </c>
      <c r="G27" s="33" t="s">
        <v>384</v>
      </c>
      <c r="H27" s="19" t="s">
        <v>343</v>
      </c>
      <c r="I27" s="4" t="s">
        <v>350</v>
      </c>
      <c r="J27" s="33" t="s">
        <v>345</v>
      </c>
      <c r="K27" s="33" t="s">
        <v>385</v>
      </c>
      <c r="L27" s="33" t="s">
        <v>386</v>
      </c>
    </row>
    <row r="28" spans="1:12" ht="27.95" customHeight="1">
      <c r="A28" s="43" t="s">
        <v>395</v>
      </c>
      <c r="B28" s="44"/>
      <c r="C28" s="44"/>
      <c r="D28" s="44"/>
      <c r="E28" s="44"/>
      <c r="F28" s="44"/>
      <c r="G28" s="44"/>
      <c r="H28" s="44"/>
      <c r="I28" s="44"/>
      <c r="J28" s="44"/>
      <c r="K28" s="44"/>
      <c r="L28" s="45"/>
    </row>
    <row r="29" spans="1:12" ht="24" customHeight="1">
      <c r="A29" s="33" t="s">
        <v>396</v>
      </c>
      <c r="B29" s="33" t="s">
        <v>139</v>
      </c>
      <c r="C29" s="33" t="s">
        <v>140</v>
      </c>
      <c r="D29" s="33" t="s">
        <v>397</v>
      </c>
      <c r="E29" s="33" t="s">
        <v>398</v>
      </c>
      <c r="F29" s="33" t="s">
        <v>399</v>
      </c>
      <c r="G29" s="33" t="s">
        <v>400</v>
      </c>
      <c r="H29" s="20" t="s">
        <v>357</v>
      </c>
      <c r="I29" s="4" t="s">
        <v>350</v>
      </c>
      <c r="J29" s="33" t="s">
        <v>401</v>
      </c>
      <c r="K29" s="33" t="s">
        <v>385</v>
      </c>
      <c r="L29" s="33" t="s">
        <v>402</v>
      </c>
    </row>
    <row r="30" spans="1:12" ht="24" customHeight="1">
      <c r="A30" s="46" t="s">
        <v>396</v>
      </c>
      <c r="B30" s="46" t="s">
        <v>141</v>
      </c>
      <c r="C30" s="46" t="s">
        <v>142</v>
      </c>
      <c r="D30" s="46" t="s">
        <v>397</v>
      </c>
      <c r="E30" s="46" t="s">
        <v>398</v>
      </c>
      <c r="F30" s="46" t="s">
        <v>403</v>
      </c>
      <c r="G30" s="46" t="s">
        <v>404</v>
      </c>
      <c r="H30" s="20" t="s">
        <v>357</v>
      </c>
      <c r="I30" s="4" t="s">
        <v>350</v>
      </c>
      <c r="J30" s="46" t="s">
        <v>405</v>
      </c>
      <c r="K30" s="46" t="s">
        <v>385</v>
      </c>
      <c r="L30" s="46" t="s">
        <v>402</v>
      </c>
    </row>
    <row r="31" spans="1:12" ht="24" customHeight="1">
      <c r="A31" s="33" t="s">
        <v>396</v>
      </c>
      <c r="B31" s="33" t="s">
        <v>143</v>
      </c>
      <c r="C31" s="33" t="s">
        <v>144</v>
      </c>
      <c r="D31" s="33" t="s">
        <v>397</v>
      </c>
      <c r="E31" s="33" t="s">
        <v>398</v>
      </c>
      <c r="F31" s="33" t="s">
        <v>406</v>
      </c>
      <c r="G31" s="33" t="s">
        <v>407</v>
      </c>
      <c r="H31" s="20" t="s">
        <v>357</v>
      </c>
      <c r="I31" s="5" t="s">
        <v>344</v>
      </c>
      <c r="J31" s="33" t="s">
        <v>408</v>
      </c>
      <c r="K31" s="33" t="s">
        <v>385</v>
      </c>
      <c r="L31" s="33" t="s">
        <v>402</v>
      </c>
    </row>
    <row r="32" spans="1:12" ht="24" customHeight="1">
      <c r="A32" s="46" t="s">
        <v>396</v>
      </c>
      <c r="B32" s="46" t="s">
        <v>145</v>
      </c>
      <c r="C32" s="46" t="s">
        <v>146</v>
      </c>
      <c r="D32" s="46" t="s">
        <v>397</v>
      </c>
      <c r="E32" s="46" t="s">
        <v>398</v>
      </c>
      <c r="F32" s="46" t="s">
        <v>409</v>
      </c>
      <c r="G32" s="46" t="s">
        <v>410</v>
      </c>
      <c r="H32" s="20" t="s">
        <v>357</v>
      </c>
      <c r="I32" s="5" t="s">
        <v>344</v>
      </c>
      <c r="J32" s="46" t="s">
        <v>411</v>
      </c>
      <c r="K32" s="46" t="s">
        <v>385</v>
      </c>
      <c r="L32" s="46" t="s">
        <v>402</v>
      </c>
    </row>
    <row r="33" spans="1:12" ht="36" customHeight="1">
      <c r="A33" s="33" t="s">
        <v>396</v>
      </c>
      <c r="B33" s="33" t="s">
        <v>147</v>
      </c>
      <c r="C33" s="33" t="s">
        <v>412</v>
      </c>
      <c r="D33" s="33" t="s">
        <v>397</v>
      </c>
      <c r="E33" s="33" t="s">
        <v>398</v>
      </c>
      <c r="F33" s="33" t="s">
        <v>413</v>
      </c>
      <c r="G33" s="33" t="s">
        <v>414</v>
      </c>
      <c r="H33" s="20" t="s">
        <v>357</v>
      </c>
      <c r="I33" s="5" t="s">
        <v>344</v>
      </c>
      <c r="J33" s="33" t="s">
        <v>408</v>
      </c>
      <c r="K33" s="33" t="s">
        <v>385</v>
      </c>
      <c r="L33" s="33" t="s">
        <v>402</v>
      </c>
    </row>
    <row r="34" spans="1:12" ht="24" customHeight="1">
      <c r="A34" s="46" t="s">
        <v>396</v>
      </c>
      <c r="B34" s="46" t="s">
        <v>149</v>
      </c>
      <c r="C34" s="46" t="s">
        <v>150</v>
      </c>
      <c r="D34" s="46" t="s">
        <v>397</v>
      </c>
      <c r="E34" s="46" t="s">
        <v>398</v>
      </c>
      <c r="F34" s="46" t="s">
        <v>413</v>
      </c>
      <c r="G34" s="46" t="s">
        <v>414</v>
      </c>
      <c r="H34" s="20" t="s">
        <v>357</v>
      </c>
      <c r="I34" s="5" t="s">
        <v>344</v>
      </c>
      <c r="J34" s="46" t="s">
        <v>408</v>
      </c>
      <c r="K34" s="46" t="s">
        <v>385</v>
      </c>
      <c r="L34" s="46" t="s">
        <v>402</v>
      </c>
    </row>
    <row r="35" spans="1:12" ht="24" customHeight="1">
      <c r="A35" s="33" t="s">
        <v>396</v>
      </c>
      <c r="B35" s="33" t="s">
        <v>151</v>
      </c>
      <c r="C35" s="33" t="s">
        <v>152</v>
      </c>
      <c r="D35" s="33" t="s">
        <v>397</v>
      </c>
      <c r="E35" s="33" t="s">
        <v>398</v>
      </c>
      <c r="F35" s="33" t="s">
        <v>415</v>
      </c>
      <c r="G35" s="33" t="s">
        <v>416</v>
      </c>
      <c r="H35" s="20" t="s">
        <v>357</v>
      </c>
      <c r="I35" s="4" t="s">
        <v>350</v>
      </c>
      <c r="J35" s="33" t="s">
        <v>417</v>
      </c>
      <c r="K35" s="33" t="s">
        <v>385</v>
      </c>
      <c r="L35" s="33" t="s">
        <v>402</v>
      </c>
    </row>
    <row r="36" spans="1:12" ht="24" customHeight="1">
      <c r="A36" s="46" t="s">
        <v>396</v>
      </c>
      <c r="B36" s="46" t="s">
        <v>153</v>
      </c>
      <c r="C36" s="46" t="s">
        <v>154</v>
      </c>
      <c r="D36" s="46" t="s">
        <v>397</v>
      </c>
      <c r="E36" s="46" t="s">
        <v>398</v>
      </c>
      <c r="F36" s="46" t="s">
        <v>418</v>
      </c>
      <c r="G36" s="46" t="s">
        <v>419</v>
      </c>
      <c r="H36" s="20" t="s">
        <v>357</v>
      </c>
      <c r="I36" s="4" t="s">
        <v>350</v>
      </c>
      <c r="J36" s="46" t="s">
        <v>401</v>
      </c>
      <c r="K36" s="46" t="s">
        <v>385</v>
      </c>
      <c r="L36" s="46" t="s">
        <v>402</v>
      </c>
    </row>
    <row r="37" spans="1:12" ht="27.95" customHeight="1">
      <c r="A37" s="43" t="s">
        <v>420</v>
      </c>
      <c r="B37" s="44"/>
      <c r="C37" s="44"/>
      <c r="D37" s="44"/>
      <c r="E37" s="44"/>
      <c r="F37" s="44"/>
      <c r="G37" s="44"/>
      <c r="H37" s="44"/>
      <c r="I37" s="44"/>
      <c r="J37" s="44"/>
      <c r="K37" s="44"/>
      <c r="L37" s="45"/>
    </row>
    <row r="38" spans="1:12" ht="48" customHeight="1">
      <c r="A38" s="33" t="s">
        <v>421</v>
      </c>
      <c r="B38" s="33" t="s">
        <v>100</v>
      </c>
      <c r="C38" s="33" t="s">
        <v>101</v>
      </c>
      <c r="D38" s="33" t="s">
        <v>339</v>
      </c>
      <c r="E38" s="33" t="s">
        <v>422</v>
      </c>
      <c r="F38" s="33" t="s">
        <v>423</v>
      </c>
      <c r="G38" s="33" t="s">
        <v>424</v>
      </c>
      <c r="H38" s="20" t="s">
        <v>357</v>
      </c>
      <c r="I38" s="5" t="s">
        <v>344</v>
      </c>
      <c r="J38" s="33" t="s">
        <v>425</v>
      </c>
      <c r="K38" s="33" t="s">
        <v>426</v>
      </c>
      <c r="L38" s="33" t="s">
        <v>427</v>
      </c>
    </row>
    <row r="39" spans="1:12" ht="48" customHeight="1">
      <c r="A39" s="46" t="s">
        <v>421</v>
      </c>
      <c r="B39" s="46" t="s">
        <v>102</v>
      </c>
      <c r="C39" s="46" t="s">
        <v>103</v>
      </c>
      <c r="D39" s="46" t="s">
        <v>339</v>
      </c>
      <c r="E39" s="46" t="s">
        <v>422</v>
      </c>
      <c r="F39" s="46" t="s">
        <v>423</v>
      </c>
      <c r="G39" s="46" t="s">
        <v>424</v>
      </c>
      <c r="H39" s="20" t="s">
        <v>357</v>
      </c>
      <c r="I39" s="5" t="s">
        <v>344</v>
      </c>
      <c r="J39" s="46" t="s">
        <v>425</v>
      </c>
      <c r="K39" s="46" t="s">
        <v>426</v>
      </c>
      <c r="L39" s="46" t="s">
        <v>427</v>
      </c>
    </row>
    <row r="40" spans="1:12" ht="48" customHeight="1">
      <c r="A40" s="33" t="s">
        <v>421</v>
      </c>
      <c r="B40" s="33" t="s">
        <v>104</v>
      </c>
      <c r="C40" s="33" t="s">
        <v>105</v>
      </c>
      <c r="D40" s="33" t="s">
        <v>339</v>
      </c>
      <c r="E40" s="33" t="s">
        <v>422</v>
      </c>
      <c r="F40" s="33" t="s">
        <v>428</v>
      </c>
      <c r="G40" s="33" t="s">
        <v>429</v>
      </c>
      <c r="H40" s="20" t="s">
        <v>357</v>
      </c>
      <c r="I40" s="5" t="s">
        <v>344</v>
      </c>
      <c r="J40" s="33" t="s">
        <v>430</v>
      </c>
      <c r="K40" s="33" t="s">
        <v>426</v>
      </c>
      <c r="L40" s="33" t="s">
        <v>427</v>
      </c>
    </row>
    <row r="41" spans="1:12" ht="24" customHeight="1">
      <c r="A41" s="46" t="s">
        <v>421</v>
      </c>
      <c r="B41" s="46" t="s">
        <v>106</v>
      </c>
      <c r="C41" s="46" t="s">
        <v>107</v>
      </c>
      <c r="D41" s="46" t="s">
        <v>339</v>
      </c>
      <c r="E41" s="46" t="s">
        <v>422</v>
      </c>
      <c r="F41" s="46" t="s">
        <v>423</v>
      </c>
      <c r="G41" s="46" t="s">
        <v>424</v>
      </c>
      <c r="H41" s="20" t="s">
        <v>357</v>
      </c>
      <c r="I41" s="5" t="s">
        <v>344</v>
      </c>
      <c r="J41" s="46" t="s">
        <v>425</v>
      </c>
      <c r="K41" s="46" t="s">
        <v>426</v>
      </c>
      <c r="L41" s="46" t="s">
        <v>427</v>
      </c>
    </row>
    <row r="42" spans="1:12" ht="48" customHeight="1">
      <c r="A42" s="33" t="s">
        <v>421</v>
      </c>
      <c r="B42" s="33" t="s">
        <v>108</v>
      </c>
      <c r="C42" s="33" t="s">
        <v>431</v>
      </c>
      <c r="D42" s="33" t="s">
        <v>339</v>
      </c>
      <c r="E42" s="33" t="s">
        <v>422</v>
      </c>
      <c r="F42" s="33" t="s">
        <v>423</v>
      </c>
      <c r="G42" s="33" t="s">
        <v>424</v>
      </c>
      <c r="H42" s="20" t="s">
        <v>357</v>
      </c>
      <c r="I42" s="5" t="s">
        <v>344</v>
      </c>
      <c r="J42" s="33" t="s">
        <v>425</v>
      </c>
      <c r="K42" s="33" t="s">
        <v>426</v>
      </c>
      <c r="L42" s="33" t="s">
        <v>427</v>
      </c>
    </row>
    <row r="43" spans="1:12" ht="36" customHeight="1">
      <c r="A43" s="46" t="s">
        <v>421</v>
      </c>
      <c r="B43" s="46" t="s">
        <v>110</v>
      </c>
      <c r="C43" s="46" t="s">
        <v>111</v>
      </c>
      <c r="D43" s="46" t="s">
        <v>339</v>
      </c>
      <c r="E43" s="46" t="s">
        <v>422</v>
      </c>
      <c r="F43" s="46" t="s">
        <v>423</v>
      </c>
      <c r="G43" s="46" t="s">
        <v>424</v>
      </c>
      <c r="H43" s="20" t="s">
        <v>357</v>
      </c>
      <c r="I43" s="5" t="s">
        <v>344</v>
      </c>
      <c r="J43" s="46" t="s">
        <v>425</v>
      </c>
      <c r="K43" s="46" t="s">
        <v>426</v>
      </c>
      <c r="L43" s="46" t="s">
        <v>427</v>
      </c>
    </row>
    <row r="44" spans="1:12" ht="48" customHeight="1">
      <c r="A44" s="33" t="s">
        <v>421</v>
      </c>
      <c r="B44" s="33" t="s">
        <v>112</v>
      </c>
      <c r="C44" s="33" t="s">
        <v>113</v>
      </c>
      <c r="D44" s="33" t="s">
        <v>339</v>
      </c>
      <c r="E44" s="33" t="s">
        <v>422</v>
      </c>
      <c r="F44" s="33" t="s">
        <v>423</v>
      </c>
      <c r="G44" s="33" t="s">
        <v>424</v>
      </c>
      <c r="H44" s="20" t="s">
        <v>357</v>
      </c>
      <c r="I44" s="5" t="s">
        <v>344</v>
      </c>
      <c r="J44" s="33" t="s">
        <v>425</v>
      </c>
      <c r="K44" s="33" t="s">
        <v>426</v>
      </c>
      <c r="L44" s="33" t="s">
        <v>427</v>
      </c>
    </row>
    <row r="45" spans="1:12" ht="36" customHeight="1">
      <c r="A45" s="46" t="s">
        <v>421</v>
      </c>
      <c r="B45" s="46" t="s">
        <v>114</v>
      </c>
      <c r="C45" s="46" t="s">
        <v>115</v>
      </c>
      <c r="D45" s="46" t="s">
        <v>339</v>
      </c>
      <c r="E45" s="46" t="s">
        <v>422</v>
      </c>
      <c r="F45" s="46" t="s">
        <v>432</v>
      </c>
      <c r="G45" s="46" t="s">
        <v>433</v>
      </c>
      <c r="H45" s="20" t="s">
        <v>357</v>
      </c>
      <c r="I45" s="4" t="s">
        <v>350</v>
      </c>
      <c r="J45" s="46" t="s">
        <v>434</v>
      </c>
      <c r="K45" s="46" t="s">
        <v>426</v>
      </c>
      <c r="L45" s="46" t="s">
        <v>427</v>
      </c>
    </row>
    <row r="46" spans="1:12" ht="48" customHeight="1">
      <c r="A46" s="33" t="s">
        <v>421</v>
      </c>
      <c r="B46" s="33" t="s">
        <v>116</v>
      </c>
      <c r="C46" s="33" t="s">
        <v>117</v>
      </c>
      <c r="D46" s="33" t="s">
        <v>339</v>
      </c>
      <c r="E46" s="33" t="s">
        <v>422</v>
      </c>
      <c r="F46" s="33" t="s">
        <v>423</v>
      </c>
      <c r="G46" s="33" t="s">
        <v>424</v>
      </c>
      <c r="H46" s="20" t="s">
        <v>357</v>
      </c>
      <c r="I46" s="5" t="s">
        <v>344</v>
      </c>
      <c r="J46" s="33" t="s">
        <v>425</v>
      </c>
      <c r="K46" s="33" t="s">
        <v>426</v>
      </c>
      <c r="L46" s="33" t="s">
        <v>427</v>
      </c>
    </row>
    <row r="47" spans="1:12" ht="36" customHeight="1">
      <c r="A47" s="46" t="s">
        <v>421</v>
      </c>
      <c r="B47" s="46" t="s">
        <v>118</v>
      </c>
      <c r="C47" s="46" t="s">
        <v>119</v>
      </c>
      <c r="D47" s="46" t="s">
        <v>339</v>
      </c>
      <c r="E47" s="46" t="s">
        <v>422</v>
      </c>
      <c r="F47" s="46" t="s">
        <v>423</v>
      </c>
      <c r="G47" s="46" t="s">
        <v>424</v>
      </c>
      <c r="H47" s="20" t="s">
        <v>357</v>
      </c>
      <c r="I47" s="4" t="s">
        <v>350</v>
      </c>
      <c r="J47" s="46" t="s">
        <v>425</v>
      </c>
      <c r="K47" s="46" t="s">
        <v>426</v>
      </c>
      <c r="L47" s="46" t="s">
        <v>427</v>
      </c>
    </row>
    <row r="48" spans="1:12" ht="24" customHeight="1">
      <c r="A48" s="33" t="s">
        <v>421</v>
      </c>
      <c r="B48" s="33" t="s">
        <v>155</v>
      </c>
      <c r="C48" s="33" t="s">
        <v>156</v>
      </c>
      <c r="D48" s="33" t="s">
        <v>397</v>
      </c>
      <c r="E48" s="33" t="s">
        <v>398</v>
      </c>
      <c r="F48" s="33" t="s">
        <v>435</v>
      </c>
      <c r="G48" s="33" t="s">
        <v>436</v>
      </c>
      <c r="H48" s="20" t="s">
        <v>357</v>
      </c>
      <c r="I48" s="4" t="s">
        <v>350</v>
      </c>
      <c r="J48" s="33" t="s">
        <v>437</v>
      </c>
      <c r="K48" s="33" t="s">
        <v>426</v>
      </c>
      <c r="L48" s="33" t="s">
        <v>427</v>
      </c>
    </row>
    <row r="49" spans="1:12" ht="24" customHeight="1">
      <c r="A49" s="46" t="s">
        <v>421</v>
      </c>
      <c r="B49" s="46" t="s">
        <v>157</v>
      </c>
      <c r="C49" s="46" t="s">
        <v>158</v>
      </c>
      <c r="D49" s="46" t="s">
        <v>397</v>
      </c>
      <c r="E49" s="46" t="s">
        <v>398</v>
      </c>
      <c r="F49" s="46" t="s">
        <v>423</v>
      </c>
      <c r="G49" s="46" t="s">
        <v>424</v>
      </c>
      <c r="H49" s="20" t="s">
        <v>357</v>
      </c>
      <c r="I49" s="4" t="s">
        <v>350</v>
      </c>
      <c r="J49" s="46" t="s">
        <v>425</v>
      </c>
      <c r="K49" s="46" t="s">
        <v>426</v>
      </c>
      <c r="L49" s="46" t="s">
        <v>427</v>
      </c>
    </row>
    <row r="50" spans="1:12" ht="27.95" customHeight="1">
      <c r="A50" s="43" t="s">
        <v>438</v>
      </c>
      <c r="B50" s="44"/>
      <c r="C50" s="44"/>
      <c r="D50" s="44"/>
      <c r="E50" s="44"/>
      <c r="F50" s="44"/>
      <c r="G50" s="44"/>
      <c r="H50" s="44"/>
      <c r="I50" s="44"/>
      <c r="J50" s="44"/>
      <c r="K50" s="44"/>
      <c r="L50" s="45"/>
    </row>
    <row r="51" spans="1:12" ht="24" customHeight="1">
      <c r="A51" s="33" t="s">
        <v>439</v>
      </c>
      <c r="B51" s="33" t="s">
        <v>123</v>
      </c>
      <c r="C51" s="33" t="s">
        <v>124</v>
      </c>
      <c r="D51" s="33" t="s">
        <v>397</v>
      </c>
      <c r="E51" s="33" t="s">
        <v>440</v>
      </c>
      <c r="F51" s="33" t="s">
        <v>441</v>
      </c>
      <c r="G51" s="33" t="s">
        <v>442</v>
      </c>
      <c r="H51" s="20" t="s">
        <v>357</v>
      </c>
      <c r="I51" s="5" t="s">
        <v>344</v>
      </c>
      <c r="J51" s="33" t="s">
        <v>408</v>
      </c>
      <c r="K51" s="33" t="s">
        <v>443</v>
      </c>
      <c r="L51" s="33" t="s">
        <v>444</v>
      </c>
    </row>
    <row r="52" spans="1:12" ht="24" customHeight="1">
      <c r="A52" s="46" t="s">
        <v>439</v>
      </c>
      <c r="B52" s="46" t="s">
        <v>125</v>
      </c>
      <c r="C52" s="46" t="s">
        <v>126</v>
      </c>
      <c r="D52" s="46" t="s">
        <v>397</v>
      </c>
      <c r="E52" s="46" t="s">
        <v>440</v>
      </c>
      <c r="F52" s="46" t="s">
        <v>445</v>
      </c>
      <c r="G52" s="46" t="s">
        <v>446</v>
      </c>
      <c r="H52" s="20" t="s">
        <v>357</v>
      </c>
      <c r="I52" s="5" t="s">
        <v>344</v>
      </c>
      <c r="J52" s="46" t="s">
        <v>408</v>
      </c>
      <c r="K52" s="46" t="s">
        <v>443</v>
      </c>
      <c r="L52" s="46" t="s">
        <v>444</v>
      </c>
    </row>
    <row r="53" spans="1:12" ht="36" customHeight="1">
      <c r="A53" s="33" t="s">
        <v>439</v>
      </c>
      <c r="B53" s="33" t="s">
        <v>127</v>
      </c>
      <c r="C53" s="33" t="s">
        <v>128</v>
      </c>
      <c r="D53" s="33" t="s">
        <v>397</v>
      </c>
      <c r="E53" s="33" t="s">
        <v>440</v>
      </c>
      <c r="F53" s="33" t="s">
        <v>447</v>
      </c>
      <c r="G53" s="33" t="s">
        <v>448</v>
      </c>
      <c r="H53" s="20" t="s">
        <v>357</v>
      </c>
      <c r="I53" s="4" t="s">
        <v>350</v>
      </c>
      <c r="J53" s="33" t="s">
        <v>408</v>
      </c>
      <c r="K53" s="33" t="s">
        <v>443</v>
      </c>
      <c r="L53" s="33" t="s">
        <v>444</v>
      </c>
    </row>
    <row r="54" spans="1:12" ht="24" customHeight="1">
      <c r="A54" s="46" t="s">
        <v>439</v>
      </c>
      <c r="B54" s="46" t="s">
        <v>129</v>
      </c>
      <c r="C54" s="46" t="s">
        <v>130</v>
      </c>
      <c r="D54" s="46" t="s">
        <v>397</v>
      </c>
      <c r="E54" s="46" t="s">
        <v>440</v>
      </c>
      <c r="F54" s="46" t="s">
        <v>449</v>
      </c>
      <c r="G54" s="46" t="s">
        <v>450</v>
      </c>
      <c r="H54" s="20" t="s">
        <v>357</v>
      </c>
      <c r="I54" s="4" t="s">
        <v>350</v>
      </c>
      <c r="J54" s="46" t="s">
        <v>430</v>
      </c>
      <c r="K54" s="46" t="s">
        <v>443</v>
      </c>
      <c r="L54" s="46" t="s">
        <v>444</v>
      </c>
    </row>
    <row r="55" spans="1:12" ht="24" customHeight="1">
      <c r="A55" s="33" t="s">
        <v>439</v>
      </c>
      <c r="B55" s="33" t="s">
        <v>131</v>
      </c>
      <c r="C55" s="33" t="s">
        <v>451</v>
      </c>
      <c r="D55" s="33" t="s">
        <v>397</v>
      </c>
      <c r="E55" s="33" t="s">
        <v>440</v>
      </c>
      <c r="F55" s="33" t="s">
        <v>452</v>
      </c>
      <c r="G55" s="33" t="s">
        <v>453</v>
      </c>
      <c r="H55" s="20" t="s">
        <v>357</v>
      </c>
      <c r="I55" s="4" t="s">
        <v>350</v>
      </c>
      <c r="J55" s="33" t="s">
        <v>454</v>
      </c>
      <c r="K55" s="33" t="s">
        <v>443</v>
      </c>
      <c r="L55" s="33" t="s">
        <v>444</v>
      </c>
    </row>
    <row r="56" spans="1:12" ht="24" customHeight="1">
      <c r="A56" s="46" t="s">
        <v>439</v>
      </c>
      <c r="B56" s="46" t="s">
        <v>133</v>
      </c>
      <c r="C56" s="46" t="s">
        <v>134</v>
      </c>
      <c r="D56" s="46" t="s">
        <v>397</v>
      </c>
      <c r="E56" s="46" t="s">
        <v>440</v>
      </c>
      <c r="F56" s="46" t="s">
        <v>455</v>
      </c>
      <c r="G56" s="46" t="s">
        <v>456</v>
      </c>
      <c r="H56" s="19" t="s">
        <v>343</v>
      </c>
      <c r="I56" s="5" t="s">
        <v>344</v>
      </c>
      <c r="J56" s="46" t="s">
        <v>408</v>
      </c>
      <c r="K56" s="46" t="s">
        <v>443</v>
      </c>
      <c r="L56" s="46" t="s">
        <v>444</v>
      </c>
    </row>
    <row r="57" spans="1:12" ht="24" customHeight="1">
      <c r="A57" s="33" t="s">
        <v>439</v>
      </c>
      <c r="B57" s="33" t="s">
        <v>135</v>
      </c>
      <c r="C57" s="33" t="s">
        <v>136</v>
      </c>
      <c r="D57" s="33" t="s">
        <v>397</v>
      </c>
      <c r="E57" s="33" t="s">
        <v>440</v>
      </c>
      <c r="F57" s="33" t="s">
        <v>457</v>
      </c>
      <c r="G57" s="33" t="s">
        <v>458</v>
      </c>
      <c r="H57" s="20" t="s">
        <v>357</v>
      </c>
      <c r="I57" s="4" t="s">
        <v>350</v>
      </c>
      <c r="J57" s="33" t="s">
        <v>408</v>
      </c>
      <c r="K57" s="33" t="s">
        <v>443</v>
      </c>
      <c r="L57" s="33" t="s">
        <v>444</v>
      </c>
    </row>
    <row r="58" spans="1:12" ht="27.95" customHeight="1">
      <c r="A58" s="43" t="s">
        <v>459</v>
      </c>
      <c r="B58" s="44"/>
      <c r="C58" s="44"/>
      <c r="D58" s="44"/>
      <c r="E58" s="44"/>
      <c r="F58" s="44"/>
      <c r="G58" s="44"/>
      <c r="H58" s="44"/>
      <c r="I58" s="44"/>
      <c r="J58" s="44"/>
      <c r="K58" s="44"/>
      <c r="L58" s="45"/>
    </row>
    <row r="59" spans="1:12" ht="36" customHeight="1">
      <c r="A59" s="33" t="s">
        <v>460</v>
      </c>
      <c r="B59" s="33" t="s">
        <v>173</v>
      </c>
      <c r="C59" s="33" t="s">
        <v>174</v>
      </c>
      <c r="D59" s="33" t="s">
        <v>461</v>
      </c>
      <c r="E59" s="33" t="s">
        <v>462</v>
      </c>
      <c r="F59" s="33" t="s">
        <v>463</v>
      </c>
      <c r="G59" s="33" t="s">
        <v>464</v>
      </c>
      <c r="H59" s="20" t="s">
        <v>357</v>
      </c>
      <c r="I59" s="5" t="s">
        <v>344</v>
      </c>
      <c r="J59" s="33" t="s">
        <v>465</v>
      </c>
      <c r="K59" s="33" t="s">
        <v>466</v>
      </c>
      <c r="L59" s="33" t="s">
        <v>467</v>
      </c>
    </row>
    <row r="60" spans="1:12" ht="24" customHeight="1">
      <c r="A60" s="46" t="s">
        <v>460</v>
      </c>
      <c r="B60" s="46" t="s">
        <v>175</v>
      </c>
      <c r="C60" s="46" t="s">
        <v>176</v>
      </c>
      <c r="D60" s="46" t="s">
        <v>461</v>
      </c>
      <c r="E60" s="46" t="s">
        <v>462</v>
      </c>
      <c r="F60" s="46" t="s">
        <v>468</v>
      </c>
      <c r="G60" s="46" t="s">
        <v>469</v>
      </c>
      <c r="H60" s="20" t="s">
        <v>357</v>
      </c>
      <c r="I60" s="5" t="s">
        <v>344</v>
      </c>
      <c r="J60" s="46" t="s">
        <v>465</v>
      </c>
      <c r="K60" s="46" t="s">
        <v>466</v>
      </c>
      <c r="L60" s="46" t="s">
        <v>467</v>
      </c>
    </row>
    <row r="61" spans="1:12" ht="24" customHeight="1">
      <c r="A61" s="33" t="s">
        <v>460</v>
      </c>
      <c r="B61" s="33" t="s">
        <v>177</v>
      </c>
      <c r="C61" s="33" t="s">
        <v>178</v>
      </c>
      <c r="D61" s="33" t="s">
        <v>461</v>
      </c>
      <c r="E61" s="33" t="s">
        <v>462</v>
      </c>
      <c r="F61" s="33" t="s">
        <v>468</v>
      </c>
      <c r="G61" s="33" t="s">
        <v>469</v>
      </c>
      <c r="H61" s="20" t="s">
        <v>357</v>
      </c>
      <c r="I61" s="5" t="s">
        <v>344</v>
      </c>
      <c r="J61" s="33" t="s">
        <v>465</v>
      </c>
      <c r="K61" s="33" t="s">
        <v>466</v>
      </c>
      <c r="L61" s="33" t="s">
        <v>467</v>
      </c>
    </row>
    <row r="62" spans="1:12" ht="24" customHeight="1">
      <c r="A62" s="46" t="s">
        <v>460</v>
      </c>
      <c r="B62" s="46" t="s">
        <v>179</v>
      </c>
      <c r="C62" s="46" t="s">
        <v>180</v>
      </c>
      <c r="D62" s="46" t="s">
        <v>461</v>
      </c>
      <c r="E62" s="46" t="s">
        <v>462</v>
      </c>
      <c r="F62" s="46" t="s">
        <v>468</v>
      </c>
      <c r="G62" s="46" t="s">
        <v>469</v>
      </c>
      <c r="H62" s="20" t="s">
        <v>357</v>
      </c>
      <c r="I62" s="4" t="s">
        <v>350</v>
      </c>
      <c r="J62" s="46" t="s">
        <v>465</v>
      </c>
      <c r="K62" s="46" t="s">
        <v>466</v>
      </c>
      <c r="L62" s="46" t="s">
        <v>467</v>
      </c>
    </row>
    <row r="63" spans="1:12" ht="48" customHeight="1">
      <c r="A63" s="33" t="s">
        <v>460</v>
      </c>
      <c r="B63" s="33" t="s">
        <v>181</v>
      </c>
      <c r="C63" s="33" t="s">
        <v>182</v>
      </c>
      <c r="D63" s="33" t="s">
        <v>461</v>
      </c>
      <c r="E63" s="33" t="s">
        <v>462</v>
      </c>
      <c r="F63" s="33" t="s">
        <v>470</v>
      </c>
      <c r="G63" s="33" t="s">
        <v>471</v>
      </c>
      <c r="H63" s="20" t="s">
        <v>357</v>
      </c>
      <c r="I63" s="5" t="s">
        <v>344</v>
      </c>
      <c r="J63" s="33" t="s">
        <v>465</v>
      </c>
      <c r="K63" s="33" t="s">
        <v>466</v>
      </c>
      <c r="L63" s="33" t="s">
        <v>467</v>
      </c>
    </row>
    <row r="64" spans="1:12" ht="24" customHeight="1">
      <c r="A64" s="46" t="s">
        <v>460</v>
      </c>
      <c r="B64" s="46" t="s">
        <v>183</v>
      </c>
      <c r="C64" s="46" t="s">
        <v>184</v>
      </c>
      <c r="D64" s="46" t="s">
        <v>461</v>
      </c>
      <c r="E64" s="46" t="s">
        <v>462</v>
      </c>
      <c r="F64" s="46" t="s">
        <v>470</v>
      </c>
      <c r="G64" s="46" t="s">
        <v>471</v>
      </c>
      <c r="H64" s="20" t="s">
        <v>357</v>
      </c>
      <c r="I64" s="4" t="s">
        <v>350</v>
      </c>
      <c r="J64" s="46" t="s">
        <v>465</v>
      </c>
      <c r="K64" s="46" t="s">
        <v>466</v>
      </c>
      <c r="L64" s="46" t="s">
        <v>467</v>
      </c>
    </row>
    <row r="65" spans="1:12" ht="27.95" customHeight="1">
      <c r="A65" s="43" t="s">
        <v>472</v>
      </c>
      <c r="B65" s="44"/>
      <c r="C65" s="44"/>
      <c r="D65" s="44"/>
      <c r="E65" s="44"/>
      <c r="F65" s="44"/>
      <c r="G65" s="44"/>
      <c r="H65" s="44"/>
      <c r="I65" s="44"/>
      <c r="J65" s="44"/>
      <c r="K65" s="44"/>
      <c r="L65" s="45"/>
    </row>
    <row r="66" spans="1:12" ht="24" customHeight="1">
      <c r="A66" s="33" t="s">
        <v>473</v>
      </c>
      <c r="B66" s="33" t="s">
        <v>193</v>
      </c>
      <c r="C66" s="33" t="s">
        <v>194</v>
      </c>
      <c r="D66" s="33" t="s">
        <v>461</v>
      </c>
      <c r="E66" s="33" t="s">
        <v>474</v>
      </c>
      <c r="F66" s="33" t="s">
        <v>475</v>
      </c>
      <c r="G66" s="33" t="s">
        <v>476</v>
      </c>
      <c r="H66" s="20" t="s">
        <v>357</v>
      </c>
      <c r="I66" s="5" t="s">
        <v>344</v>
      </c>
      <c r="J66" s="33" t="s">
        <v>477</v>
      </c>
      <c r="K66" s="33" t="s">
        <v>477</v>
      </c>
      <c r="L66" s="33" t="s">
        <v>478</v>
      </c>
    </row>
    <row r="67" spans="1:12" ht="24" customHeight="1">
      <c r="A67" s="46" t="s">
        <v>473</v>
      </c>
      <c r="B67" s="46" t="s">
        <v>195</v>
      </c>
      <c r="C67" s="46" t="s">
        <v>196</v>
      </c>
      <c r="D67" s="46" t="s">
        <v>461</v>
      </c>
      <c r="E67" s="46" t="s">
        <v>474</v>
      </c>
      <c r="F67" s="46" t="s">
        <v>475</v>
      </c>
      <c r="G67" s="46" t="s">
        <v>476</v>
      </c>
      <c r="H67" s="20" t="s">
        <v>357</v>
      </c>
      <c r="I67" s="5" t="s">
        <v>344</v>
      </c>
      <c r="J67" s="46" t="s">
        <v>477</v>
      </c>
      <c r="K67" s="46" t="s">
        <v>477</v>
      </c>
      <c r="L67" s="46" t="s">
        <v>478</v>
      </c>
    </row>
    <row r="68" spans="1:12" ht="24" customHeight="1">
      <c r="A68" s="33" t="s">
        <v>473</v>
      </c>
      <c r="B68" s="33" t="s">
        <v>197</v>
      </c>
      <c r="C68" s="33" t="s">
        <v>198</v>
      </c>
      <c r="D68" s="33" t="s">
        <v>461</v>
      </c>
      <c r="E68" s="33" t="s">
        <v>474</v>
      </c>
      <c r="F68" s="33" t="s">
        <v>475</v>
      </c>
      <c r="G68" s="33" t="s">
        <v>476</v>
      </c>
      <c r="H68" s="20" t="s">
        <v>357</v>
      </c>
      <c r="I68" s="5" t="s">
        <v>344</v>
      </c>
      <c r="J68" s="33" t="s">
        <v>477</v>
      </c>
      <c r="K68" s="33" t="s">
        <v>477</v>
      </c>
      <c r="L68" s="33" t="s">
        <v>478</v>
      </c>
    </row>
    <row r="69" spans="1:12" ht="24" customHeight="1">
      <c r="A69" s="46" t="s">
        <v>473</v>
      </c>
      <c r="B69" s="46" t="s">
        <v>199</v>
      </c>
      <c r="C69" s="46" t="s">
        <v>200</v>
      </c>
      <c r="D69" s="46" t="s">
        <v>461</v>
      </c>
      <c r="E69" s="46" t="s">
        <v>474</v>
      </c>
      <c r="F69" s="46" t="s">
        <v>479</v>
      </c>
      <c r="G69" s="46" t="s">
        <v>480</v>
      </c>
      <c r="H69" s="20" t="s">
        <v>357</v>
      </c>
      <c r="I69" s="4" t="s">
        <v>350</v>
      </c>
      <c r="J69" s="46" t="s">
        <v>481</v>
      </c>
      <c r="K69" s="46" t="s">
        <v>477</v>
      </c>
      <c r="L69" s="46" t="s">
        <v>478</v>
      </c>
    </row>
    <row r="70" spans="1:12" ht="27.95" customHeight="1">
      <c r="A70" s="43" t="s">
        <v>482</v>
      </c>
      <c r="B70" s="44"/>
      <c r="C70" s="44"/>
      <c r="D70" s="44"/>
      <c r="E70" s="44"/>
      <c r="F70" s="44"/>
      <c r="G70" s="44"/>
      <c r="H70" s="44"/>
      <c r="I70" s="44"/>
      <c r="J70" s="44"/>
      <c r="K70" s="44"/>
      <c r="L70" s="45"/>
    </row>
    <row r="71" spans="1:12" ht="24" customHeight="1">
      <c r="A71" s="33" t="s">
        <v>483</v>
      </c>
      <c r="B71" s="33" t="s">
        <v>217</v>
      </c>
      <c r="C71" s="33" t="s">
        <v>218</v>
      </c>
      <c r="D71" s="33" t="s">
        <v>461</v>
      </c>
      <c r="E71" s="33" t="s">
        <v>484</v>
      </c>
      <c r="F71" s="33" t="s">
        <v>485</v>
      </c>
      <c r="G71" s="33" t="s">
        <v>486</v>
      </c>
      <c r="H71" s="20" t="s">
        <v>357</v>
      </c>
      <c r="I71" s="4" t="s">
        <v>350</v>
      </c>
      <c r="J71" s="33" t="s">
        <v>487</v>
      </c>
      <c r="K71" s="33" t="s">
        <v>488</v>
      </c>
      <c r="L71" s="33" t="s">
        <v>489</v>
      </c>
    </row>
    <row r="72" spans="1:12" ht="24" customHeight="1">
      <c r="A72" s="46" t="s">
        <v>483</v>
      </c>
      <c r="B72" s="46" t="s">
        <v>219</v>
      </c>
      <c r="C72" s="46" t="s">
        <v>490</v>
      </c>
      <c r="D72" s="46" t="s">
        <v>461</v>
      </c>
      <c r="E72" s="46" t="s">
        <v>484</v>
      </c>
      <c r="F72" s="46" t="s">
        <v>491</v>
      </c>
      <c r="G72" s="46" t="s">
        <v>492</v>
      </c>
      <c r="H72" s="20" t="s">
        <v>357</v>
      </c>
      <c r="I72" s="4" t="s">
        <v>350</v>
      </c>
      <c r="J72" s="46" t="s">
        <v>401</v>
      </c>
      <c r="K72" s="46" t="s">
        <v>488</v>
      </c>
      <c r="L72" s="46" t="s">
        <v>489</v>
      </c>
    </row>
    <row r="73" spans="1:12" ht="24" customHeight="1">
      <c r="A73" s="33" t="s">
        <v>483</v>
      </c>
      <c r="B73" s="33" t="s">
        <v>221</v>
      </c>
      <c r="C73" s="33" t="s">
        <v>222</v>
      </c>
      <c r="D73" s="33" t="s">
        <v>461</v>
      </c>
      <c r="E73" s="33" t="s">
        <v>484</v>
      </c>
      <c r="F73" s="33" t="s">
        <v>493</v>
      </c>
      <c r="G73" s="33" t="s">
        <v>494</v>
      </c>
      <c r="H73" s="20" t="s">
        <v>357</v>
      </c>
      <c r="I73" s="5" t="s">
        <v>344</v>
      </c>
      <c r="J73" s="33" t="s">
        <v>495</v>
      </c>
      <c r="K73" s="33" t="s">
        <v>488</v>
      </c>
      <c r="L73" s="33" t="s">
        <v>489</v>
      </c>
    </row>
    <row r="74" spans="1:12" ht="24" customHeight="1">
      <c r="A74" s="46" t="s">
        <v>483</v>
      </c>
      <c r="B74" s="46" t="s">
        <v>223</v>
      </c>
      <c r="C74" s="46" t="s">
        <v>224</v>
      </c>
      <c r="D74" s="46" t="s">
        <v>461</v>
      </c>
      <c r="E74" s="46" t="s">
        <v>484</v>
      </c>
      <c r="F74" s="46" t="s">
        <v>496</v>
      </c>
      <c r="G74" s="46" t="s">
        <v>497</v>
      </c>
      <c r="H74" s="20" t="s">
        <v>357</v>
      </c>
      <c r="I74" s="4" t="s">
        <v>350</v>
      </c>
      <c r="J74" s="46" t="s">
        <v>495</v>
      </c>
      <c r="K74" s="46" t="s">
        <v>488</v>
      </c>
      <c r="L74" s="46" t="s">
        <v>489</v>
      </c>
    </row>
    <row r="75" spans="1:12" ht="24" customHeight="1">
      <c r="A75" s="33" t="s">
        <v>483</v>
      </c>
      <c r="B75" s="33" t="s">
        <v>203</v>
      </c>
      <c r="C75" s="33" t="s">
        <v>204</v>
      </c>
      <c r="D75" s="33" t="s">
        <v>461</v>
      </c>
      <c r="E75" s="33" t="s">
        <v>498</v>
      </c>
      <c r="F75" s="33" t="s">
        <v>491</v>
      </c>
      <c r="G75" s="33" t="s">
        <v>492</v>
      </c>
      <c r="H75" s="20" t="s">
        <v>357</v>
      </c>
      <c r="I75" s="5" t="s">
        <v>344</v>
      </c>
      <c r="J75" s="33" t="s">
        <v>401</v>
      </c>
      <c r="K75" s="33" t="s">
        <v>488</v>
      </c>
      <c r="L75" s="33" t="s">
        <v>489</v>
      </c>
    </row>
    <row r="76" spans="1:12" ht="24" customHeight="1">
      <c r="A76" s="46" t="s">
        <v>483</v>
      </c>
      <c r="B76" s="46" t="s">
        <v>205</v>
      </c>
      <c r="C76" s="46" t="s">
        <v>206</v>
      </c>
      <c r="D76" s="46" t="s">
        <v>461</v>
      </c>
      <c r="E76" s="46" t="s">
        <v>498</v>
      </c>
      <c r="F76" s="46" t="s">
        <v>418</v>
      </c>
      <c r="G76" s="46" t="s">
        <v>419</v>
      </c>
      <c r="H76" s="20" t="s">
        <v>357</v>
      </c>
      <c r="I76" s="5" t="s">
        <v>344</v>
      </c>
      <c r="J76" s="46" t="s">
        <v>401</v>
      </c>
      <c r="K76" s="46" t="s">
        <v>488</v>
      </c>
      <c r="L76" s="46" t="s">
        <v>489</v>
      </c>
    </row>
    <row r="77" spans="1:12" ht="24" customHeight="1">
      <c r="A77" s="33" t="s">
        <v>483</v>
      </c>
      <c r="B77" s="33" t="s">
        <v>207</v>
      </c>
      <c r="C77" s="33" t="s">
        <v>208</v>
      </c>
      <c r="D77" s="33" t="s">
        <v>461</v>
      </c>
      <c r="E77" s="33" t="s">
        <v>498</v>
      </c>
      <c r="F77" s="33" t="s">
        <v>499</v>
      </c>
      <c r="G77" s="33" t="s">
        <v>500</v>
      </c>
      <c r="H77" s="20" t="s">
        <v>357</v>
      </c>
      <c r="I77" s="4" t="s">
        <v>350</v>
      </c>
      <c r="J77" s="33" t="s">
        <v>417</v>
      </c>
      <c r="K77" s="33" t="s">
        <v>488</v>
      </c>
      <c r="L77" s="33" t="s">
        <v>489</v>
      </c>
    </row>
    <row r="78" spans="1:12" ht="24" customHeight="1">
      <c r="A78" s="46" t="s">
        <v>483</v>
      </c>
      <c r="B78" s="46" t="s">
        <v>209</v>
      </c>
      <c r="C78" s="46" t="s">
        <v>210</v>
      </c>
      <c r="D78" s="46" t="s">
        <v>461</v>
      </c>
      <c r="E78" s="46" t="s">
        <v>498</v>
      </c>
      <c r="F78" s="46" t="s">
        <v>501</v>
      </c>
      <c r="G78" s="46" t="s">
        <v>502</v>
      </c>
      <c r="H78" s="20" t="s">
        <v>357</v>
      </c>
      <c r="I78" s="4" t="s">
        <v>350</v>
      </c>
      <c r="J78" s="46" t="s">
        <v>503</v>
      </c>
      <c r="K78" s="46" t="s">
        <v>488</v>
      </c>
      <c r="L78" s="46" t="s">
        <v>489</v>
      </c>
    </row>
    <row r="79" spans="1:12" ht="24" customHeight="1">
      <c r="A79" s="33" t="s">
        <v>483</v>
      </c>
      <c r="B79" s="33" t="s">
        <v>211</v>
      </c>
      <c r="C79" s="33" t="s">
        <v>212</v>
      </c>
      <c r="D79" s="33" t="s">
        <v>461</v>
      </c>
      <c r="E79" s="33" t="s">
        <v>498</v>
      </c>
      <c r="F79" s="33" t="s">
        <v>504</v>
      </c>
      <c r="G79" s="33" t="s">
        <v>505</v>
      </c>
      <c r="H79" s="20" t="s">
        <v>357</v>
      </c>
      <c r="I79" s="4" t="s">
        <v>350</v>
      </c>
      <c r="J79" s="33" t="s">
        <v>417</v>
      </c>
      <c r="K79" s="33" t="s">
        <v>488</v>
      </c>
      <c r="L79" s="33" t="s">
        <v>489</v>
      </c>
    </row>
    <row r="80" spans="1:12" ht="36" customHeight="1">
      <c r="A80" s="46" t="s">
        <v>483</v>
      </c>
      <c r="B80" s="46" t="s">
        <v>213</v>
      </c>
      <c r="C80" s="46" t="s">
        <v>214</v>
      </c>
      <c r="D80" s="46" t="s">
        <v>461</v>
      </c>
      <c r="E80" s="46" t="s">
        <v>498</v>
      </c>
      <c r="F80" s="46" t="s">
        <v>491</v>
      </c>
      <c r="G80" s="46" t="s">
        <v>492</v>
      </c>
      <c r="H80" s="20" t="s">
        <v>357</v>
      </c>
      <c r="I80" s="4" t="s">
        <v>350</v>
      </c>
      <c r="J80" s="46" t="s">
        <v>401</v>
      </c>
      <c r="K80" s="46" t="s">
        <v>488</v>
      </c>
      <c r="L80" s="46" t="s">
        <v>489</v>
      </c>
    </row>
    <row r="81" spans="1:12" ht="27.95" customHeight="1">
      <c r="A81" s="43" t="s">
        <v>506</v>
      </c>
      <c r="B81" s="44"/>
      <c r="C81" s="44"/>
      <c r="D81" s="44"/>
      <c r="E81" s="44"/>
      <c r="F81" s="44"/>
      <c r="G81" s="44"/>
      <c r="H81" s="44"/>
      <c r="I81" s="44"/>
      <c r="J81" s="44"/>
      <c r="K81" s="44"/>
      <c r="L81" s="45"/>
    </row>
    <row r="82" spans="1:12" ht="36" customHeight="1">
      <c r="A82" s="33" t="s">
        <v>507</v>
      </c>
      <c r="B82" s="33" t="s">
        <v>187</v>
      </c>
      <c r="C82" s="33" t="s">
        <v>508</v>
      </c>
      <c r="D82" s="33" t="s">
        <v>461</v>
      </c>
      <c r="E82" s="33" t="s">
        <v>509</v>
      </c>
      <c r="F82" s="33" t="s">
        <v>510</v>
      </c>
      <c r="G82" s="33" t="s">
        <v>511</v>
      </c>
      <c r="H82" s="20" t="s">
        <v>357</v>
      </c>
      <c r="I82" s="5" t="s">
        <v>344</v>
      </c>
      <c r="J82" s="33" t="s">
        <v>512</v>
      </c>
      <c r="K82" s="33" t="s">
        <v>513</v>
      </c>
      <c r="L82" s="33" t="s">
        <v>514</v>
      </c>
    </row>
    <row r="83" spans="1:12" ht="48" customHeight="1">
      <c r="A83" s="46" t="s">
        <v>507</v>
      </c>
      <c r="B83" s="46" t="s">
        <v>189</v>
      </c>
      <c r="C83" s="46" t="s">
        <v>515</v>
      </c>
      <c r="D83" s="46" t="s">
        <v>461</v>
      </c>
      <c r="E83" s="46" t="s">
        <v>509</v>
      </c>
      <c r="F83" s="46" t="s">
        <v>510</v>
      </c>
      <c r="G83" s="46" t="s">
        <v>511</v>
      </c>
      <c r="H83" s="20" t="s">
        <v>357</v>
      </c>
      <c r="I83" s="5" t="s">
        <v>344</v>
      </c>
      <c r="J83" s="46" t="s">
        <v>512</v>
      </c>
      <c r="K83" s="46" t="s">
        <v>513</v>
      </c>
      <c r="L83" s="46" t="s">
        <v>514</v>
      </c>
    </row>
    <row r="84" spans="1:12" ht="27.95" customHeight="1">
      <c r="A84" s="43" t="s">
        <v>516</v>
      </c>
      <c r="B84" s="44"/>
      <c r="C84" s="44"/>
      <c r="D84" s="44"/>
      <c r="E84" s="44"/>
      <c r="F84" s="44"/>
      <c r="G84" s="44"/>
      <c r="H84" s="44"/>
      <c r="I84" s="44"/>
      <c r="J84" s="44"/>
      <c r="K84" s="44"/>
      <c r="L84" s="45"/>
    </row>
    <row r="85" spans="1:12" ht="24" customHeight="1">
      <c r="A85" s="33" t="s">
        <v>517</v>
      </c>
      <c r="B85" s="33" t="s">
        <v>241</v>
      </c>
      <c r="C85" s="33" t="s">
        <v>242</v>
      </c>
      <c r="D85" s="33" t="s">
        <v>518</v>
      </c>
      <c r="E85" s="33" t="s">
        <v>519</v>
      </c>
      <c r="F85" s="33" t="s">
        <v>520</v>
      </c>
      <c r="G85" s="33" t="s">
        <v>521</v>
      </c>
      <c r="H85" s="20" t="s">
        <v>357</v>
      </c>
      <c r="I85" s="5" t="s">
        <v>344</v>
      </c>
      <c r="J85" s="33" t="s">
        <v>522</v>
      </c>
      <c r="K85" s="33" t="s">
        <v>523</v>
      </c>
      <c r="L85" s="33" t="s">
        <v>524</v>
      </c>
    </row>
    <row r="86" spans="1:12" ht="24" customHeight="1">
      <c r="A86" s="46" t="s">
        <v>517</v>
      </c>
      <c r="B86" s="46" t="s">
        <v>243</v>
      </c>
      <c r="C86" s="46" t="s">
        <v>244</v>
      </c>
      <c r="D86" s="46" t="s">
        <v>518</v>
      </c>
      <c r="E86" s="46" t="s">
        <v>519</v>
      </c>
      <c r="F86" s="46" t="s">
        <v>520</v>
      </c>
      <c r="G86" s="46" t="s">
        <v>521</v>
      </c>
      <c r="H86" s="20" t="s">
        <v>357</v>
      </c>
      <c r="I86" s="5" t="s">
        <v>344</v>
      </c>
      <c r="J86" s="46" t="s">
        <v>522</v>
      </c>
      <c r="K86" s="46" t="s">
        <v>523</v>
      </c>
      <c r="L86" s="46" t="s">
        <v>524</v>
      </c>
    </row>
    <row r="87" spans="1:12" ht="24" customHeight="1">
      <c r="A87" s="33" t="s">
        <v>517</v>
      </c>
      <c r="B87" s="33" t="s">
        <v>245</v>
      </c>
      <c r="C87" s="33" t="s">
        <v>246</v>
      </c>
      <c r="D87" s="33" t="s">
        <v>518</v>
      </c>
      <c r="E87" s="33" t="s">
        <v>519</v>
      </c>
      <c r="F87" s="33" t="s">
        <v>520</v>
      </c>
      <c r="G87" s="33" t="s">
        <v>521</v>
      </c>
      <c r="H87" s="20" t="s">
        <v>357</v>
      </c>
      <c r="I87" s="5" t="s">
        <v>344</v>
      </c>
      <c r="J87" s="33" t="s">
        <v>522</v>
      </c>
      <c r="K87" s="33" t="s">
        <v>523</v>
      </c>
      <c r="L87" s="33" t="s">
        <v>524</v>
      </c>
    </row>
    <row r="88" spans="1:12" ht="24" customHeight="1">
      <c r="A88" s="46" t="s">
        <v>517</v>
      </c>
      <c r="B88" s="46" t="s">
        <v>247</v>
      </c>
      <c r="C88" s="46" t="s">
        <v>248</v>
      </c>
      <c r="D88" s="46" t="s">
        <v>518</v>
      </c>
      <c r="E88" s="46" t="s">
        <v>519</v>
      </c>
      <c r="F88" s="46" t="s">
        <v>525</v>
      </c>
      <c r="G88" s="46" t="s">
        <v>526</v>
      </c>
      <c r="H88" s="20" t="s">
        <v>357</v>
      </c>
      <c r="I88" s="4" t="s">
        <v>350</v>
      </c>
      <c r="J88" s="46" t="s">
        <v>527</v>
      </c>
      <c r="K88" s="46" t="s">
        <v>523</v>
      </c>
      <c r="L88" s="46" t="s">
        <v>524</v>
      </c>
    </row>
    <row r="89" spans="1:12" ht="24" customHeight="1">
      <c r="A89" s="33" t="s">
        <v>517</v>
      </c>
      <c r="B89" s="33" t="s">
        <v>249</v>
      </c>
      <c r="C89" s="33" t="s">
        <v>250</v>
      </c>
      <c r="D89" s="33" t="s">
        <v>518</v>
      </c>
      <c r="E89" s="33" t="s">
        <v>519</v>
      </c>
      <c r="F89" s="33" t="s">
        <v>520</v>
      </c>
      <c r="G89" s="33" t="s">
        <v>521</v>
      </c>
      <c r="H89" s="20" t="s">
        <v>357</v>
      </c>
      <c r="I89" s="4" t="s">
        <v>350</v>
      </c>
      <c r="J89" s="33" t="s">
        <v>522</v>
      </c>
      <c r="K89" s="33" t="s">
        <v>523</v>
      </c>
      <c r="L89" s="33" t="s">
        <v>524</v>
      </c>
    </row>
    <row r="90" spans="1:12" ht="24" customHeight="1">
      <c r="A90" s="46" t="s">
        <v>517</v>
      </c>
      <c r="B90" s="46" t="s">
        <v>251</v>
      </c>
      <c r="C90" s="46" t="s">
        <v>252</v>
      </c>
      <c r="D90" s="46" t="s">
        <v>518</v>
      </c>
      <c r="E90" s="46" t="s">
        <v>519</v>
      </c>
      <c r="F90" s="46" t="s">
        <v>520</v>
      </c>
      <c r="G90" s="46" t="s">
        <v>521</v>
      </c>
      <c r="H90" s="20" t="s">
        <v>357</v>
      </c>
      <c r="I90" s="4" t="s">
        <v>350</v>
      </c>
      <c r="J90" s="46" t="s">
        <v>522</v>
      </c>
      <c r="K90" s="46" t="s">
        <v>523</v>
      </c>
      <c r="L90" s="46" t="s">
        <v>524</v>
      </c>
    </row>
    <row r="91" spans="1:12" ht="24" customHeight="1">
      <c r="A91" s="33" t="s">
        <v>517</v>
      </c>
      <c r="B91" s="33" t="s">
        <v>253</v>
      </c>
      <c r="C91" s="33" t="s">
        <v>250</v>
      </c>
      <c r="D91" s="33" t="s">
        <v>518</v>
      </c>
      <c r="E91" s="33" t="s">
        <v>519</v>
      </c>
      <c r="F91" s="33" t="s">
        <v>528</v>
      </c>
      <c r="G91" s="33" t="s">
        <v>529</v>
      </c>
      <c r="H91" s="20" t="s">
        <v>357</v>
      </c>
      <c r="I91" s="4" t="s">
        <v>350</v>
      </c>
      <c r="J91" s="33" t="s">
        <v>503</v>
      </c>
      <c r="K91" s="33" t="s">
        <v>523</v>
      </c>
      <c r="L91" s="33" t="s">
        <v>524</v>
      </c>
    </row>
    <row r="92" spans="1:12" ht="24" customHeight="1">
      <c r="A92" s="46" t="s">
        <v>517</v>
      </c>
      <c r="B92" s="46" t="s">
        <v>254</v>
      </c>
      <c r="C92" s="46" t="s">
        <v>255</v>
      </c>
      <c r="D92" s="46" t="s">
        <v>518</v>
      </c>
      <c r="E92" s="46" t="s">
        <v>519</v>
      </c>
      <c r="F92" s="46" t="s">
        <v>525</v>
      </c>
      <c r="G92" s="46" t="s">
        <v>526</v>
      </c>
      <c r="H92" s="20" t="s">
        <v>357</v>
      </c>
      <c r="I92" s="5" t="s">
        <v>344</v>
      </c>
      <c r="J92" s="46" t="s">
        <v>527</v>
      </c>
      <c r="K92" s="46" t="s">
        <v>523</v>
      </c>
      <c r="L92" s="46" t="s">
        <v>524</v>
      </c>
    </row>
    <row r="93" spans="1:12" ht="24" customHeight="1">
      <c r="A93" s="33" t="s">
        <v>517</v>
      </c>
      <c r="B93" s="33" t="s">
        <v>229</v>
      </c>
      <c r="C93" s="33" t="s">
        <v>230</v>
      </c>
      <c r="D93" s="33" t="s">
        <v>518</v>
      </c>
      <c r="E93" s="33" t="s">
        <v>530</v>
      </c>
      <c r="F93" s="33" t="s">
        <v>531</v>
      </c>
      <c r="G93" s="33" t="s">
        <v>502</v>
      </c>
      <c r="H93" s="20" t="s">
        <v>357</v>
      </c>
      <c r="I93" s="5" t="s">
        <v>344</v>
      </c>
      <c r="J93" s="33" t="s">
        <v>503</v>
      </c>
      <c r="K93" s="33" t="s">
        <v>523</v>
      </c>
      <c r="L93" s="33" t="s">
        <v>524</v>
      </c>
    </row>
    <row r="94" spans="1:12" ht="24" customHeight="1">
      <c r="A94" s="46" t="s">
        <v>517</v>
      </c>
      <c r="B94" s="46" t="s">
        <v>231</v>
      </c>
      <c r="C94" s="46" t="s">
        <v>232</v>
      </c>
      <c r="D94" s="46" t="s">
        <v>518</v>
      </c>
      <c r="E94" s="46" t="s">
        <v>530</v>
      </c>
      <c r="F94" s="46" t="s">
        <v>528</v>
      </c>
      <c r="G94" s="46" t="s">
        <v>529</v>
      </c>
      <c r="H94" s="20" t="s">
        <v>357</v>
      </c>
      <c r="I94" s="4" t="s">
        <v>350</v>
      </c>
      <c r="J94" s="46" t="s">
        <v>503</v>
      </c>
      <c r="K94" s="46" t="s">
        <v>523</v>
      </c>
      <c r="L94" s="46" t="s">
        <v>524</v>
      </c>
    </row>
    <row r="95" spans="1:12" ht="24" customHeight="1">
      <c r="A95" s="33" t="s">
        <v>517</v>
      </c>
      <c r="B95" s="33" t="s">
        <v>233</v>
      </c>
      <c r="C95" s="33" t="s">
        <v>234</v>
      </c>
      <c r="D95" s="33" t="s">
        <v>518</v>
      </c>
      <c r="E95" s="33" t="s">
        <v>530</v>
      </c>
      <c r="F95" s="33" t="s">
        <v>532</v>
      </c>
      <c r="G95" s="33" t="s">
        <v>533</v>
      </c>
      <c r="H95" s="20" t="s">
        <v>357</v>
      </c>
      <c r="I95" s="4" t="s">
        <v>350</v>
      </c>
      <c r="J95" s="33" t="s">
        <v>534</v>
      </c>
      <c r="K95" s="33" t="s">
        <v>523</v>
      </c>
      <c r="L95" s="33" t="s">
        <v>524</v>
      </c>
    </row>
    <row r="96" spans="1:12" ht="24" customHeight="1">
      <c r="A96" s="46" t="s">
        <v>517</v>
      </c>
      <c r="B96" s="46" t="s">
        <v>235</v>
      </c>
      <c r="C96" s="46" t="s">
        <v>236</v>
      </c>
      <c r="D96" s="46" t="s">
        <v>518</v>
      </c>
      <c r="E96" s="46" t="s">
        <v>530</v>
      </c>
      <c r="F96" s="46" t="s">
        <v>535</v>
      </c>
      <c r="G96" s="46" t="s">
        <v>536</v>
      </c>
      <c r="H96" s="20" t="s">
        <v>357</v>
      </c>
      <c r="I96" s="4" t="s">
        <v>350</v>
      </c>
      <c r="J96" s="46" t="s">
        <v>537</v>
      </c>
      <c r="K96" s="46" t="s">
        <v>523</v>
      </c>
      <c r="L96" s="46" t="s">
        <v>524</v>
      </c>
    </row>
    <row r="97" spans="1:12" ht="36" customHeight="1">
      <c r="A97" s="33" t="s">
        <v>517</v>
      </c>
      <c r="B97" s="33" t="s">
        <v>237</v>
      </c>
      <c r="C97" s="33" t="s">
        <v>238</v>
      </c>
      <c r="D97" s="33" t="s">
        <v>518</v>
      </c>
      <c r="E97" s="33" t="s">
        <v>530</v>
      </c>
      <c r="F97" s="33" t="s">
        <v>538</v>
      </c>
      <c r="G97" s="33" t="s">
        <v>539</v>
      </c>
      <c r="H97" s="20" t="s">
        <v>357</v>
      </c>
      <c r="I97" s="5" t="s">
        <v>344</v>
      </c>
      <c r="J97" s="33" t="s">
        <v>540</v>
      </c>
      <c r="K97" s="33" t="s">
        <v>523</v>
      </c>
      <c r="L97" s="33" t="s">
        <v>524</v>
      </c>
    </row>
    <row r="98" spans="1:12" ht="27.95" customHeight="1">
      <c r="A98" s="43" t="s">
        <v>541</v>
      </c>
      <c r="B98" s="44"/>
      <c r="C98" s="44"/>
      <c r="D98" s="44"/>
      <c r="E98" s="44"/>
      <c r="F98" s="44"/>
      <c r="G98" s="44"/>
      <c r="H98" s="44"/>
      <c r="I98" s="44"/>
      <c r="J98" s="44"/>
      <c r="K98" s="44"/>
      <c r="L98" s="45"/>
    </row>
    <row r="99" spans="1:12" ht="36" customHeight="1">
      <c r="A99" s="33" t="s">
        <v>542</v>
      </c>
      <c r="B99" s="33" t="s">
        <v>272</v>
      </c>
      <c r="C99" s="33" t="s">
        <v>543</v>
      </c>
      <c r="D99" s="33" t="s">
        <v>544</v>
      </c>
      <c r="E99" s="33" t="s">
        <v>545</v>
      </c>
      <c r="F99" s="33" t="s">
        <v>546</v>
      </c>
      <c r="G99" s="33" t="s">
        <v>547</v>
      </c>
      <c r="H99" s="20" t="s">
        <v>357</v>
      </c>
      <c r="I99" s="5" t="s">
        <v>344</v>
      </c>
      <c r="J99" s="33" t="s">
        <v>527</v>
      </c>
      <c r="K99" s="33" t="s">
        <v>527</v>
      </c>
      <c r="L99" s="33" t="s">
        <v>548</v>
      </c>
    </row>
    <row r="100" spans="1:12" ht="36" customHeight="1">
      <c r="A100" s="46" t="s">
        <v>542</v>
      </c>
      <c r="B100" s="46" t="s">
        <v>274</v>
      </c>
      <c r="C100" s="46" t="s">
        <v>275</v>
      </c>
      <c r="D100" s="46" t="s">
        <v>544</v>
      </c>
      <c r="E100" s="46" t="s">
        <v>545</v>
      </c>
      <c r="F100" s="46" t="s">
        <v>546</v>
      </c>
      <c r="G100" s="46" t="s">
        <v>547</v>
      </c>
      <c r="H100" s="20" t="s">
        <v>357</v>
      </c>
      <c r="I100" s="4" t="s">
        <v>350</v>
      </c>
      <c r="J100" s="46" t="s">
        <v>527</v>
      </c>
      <c r="K100" s="46" t="s">
        <v>527</v>
      </c>
      <c r="L100" s="46" t="s">
        <v>548</v>
      </c>
    </row>
    <row r="101" spans="1:12" ht="24" customHeight="1">
      <c r="A101" s="33" t="s">
        <v>542</v>
      </c>
      <c r="B101" s="33" t="s">
        <v>276</v>
      </c>
      <c r="C101" s="33" t="s">
        <v>277</v>
      </c>
      <c r="D101" s="33" t="s">
        <v>544</v>
      </c>
      <c r="E101" s="33" t="s">
        <v>545</v>
      </c>
      <c r="F101" s="33" t="s">
        <v>525</v>
      </c>
      <c r="G101" s="33" t="s">
        <v>526</v>
      </c>
      <c r="H101" s="20" t="s">
        <v>357</v>
      </c>
      <c r="I101" s="4" t="s">
        <v>350</v>
      </c>
      <c r="J101" s="33" t="s">
        <v>527</v>
      </c>
      <c r="K101" s="33" t="s">
        <v>527</v>
      </c>
      <c r="L101" s="33" t="s">
        <v>548</v>
      </c>
    </row>
    <row r="102" spans="1:12" ht="24" customHeight="1">
      <c r="A102" s="46" t="s">
        <v>542</v>
      </c>
      <c r="B102" s="46" t="s">
        <v>278</v>
      </c>
      <c r="C102" s="46" t="s">
        <v>279</v>
      </c>
      <c r="D102" s="46" t="s">
        <v>544</v>
      </c>
      <c r="E102" s="46" t="s">
        <v>545</v>
      </c>
      <c r="F102" s="46" t="s">
        <v>546</v>
      </c>
      <c r="G102" s="46" t="s">
        <v>547</v>
      </c>
      <c r="H102" s="20" t="s">
        <v>357</v>
      </c>
      <c r="I102" s="4" t="s">
        <v>350</v>
      </c>
      <c r="J102" s="46" t="s">
        <v>527</v>
      </c>
      <c r="K102" s="46" t="s">
        <v>527</v>
      </c>
      <c r="L102" s="46" t="s">
        <v>548</v>
      </c>
    </row>
    <row r="103" spans="1:12" ht="24" customHeight="1">
      <c r="A103" s="33" t="s">
        <v>542</v>
      </c>
      <c r="B103" s="33" t="s">
        <v>282</v>
      </c>
      <c r="C103" s="33" t="s">
        <v>283</v>
      </c>
      <c r="D103" s="33" t="s">
        <v>544</v>
      </c>
      <c r="E103" s="33" t="s">
        <v>549</v>
      </c>
      <c r="F103" s="33" t="s">
        <v>550</v>
      </c>
      <c r="G103" s="33" t="s">
        <v>551</v>
      </c>
      <c r="H103" s="20" t="s">
        <v>357</v>
      </c>
      <c r="I103" s="5" t="s">
        <v>344</v>
      </c>
      <c r="J103" s="33" t="s">
        <v>527</v>
      </c>
      <c r="K103" s="33" t="s">
        <v>527</v>
      </c>
      <c r="L103" s="33" t="s">
        <v>548</v>
      </c>
    </row>
    <row r="104" spans="1:12" ht="24" customHeight="1">
      <c r="A104" s="46" t="s">
        <v>542</v>
      </c>
      <c r="B104" s="46" t="s">
        <v>284</v>
      </c>
      <c r="C104" s="46" t="s">
        <v>285</v>
      </c>
      <c r="D104" s="46" t="s">
        <v>544</v>
      </c>
      <c r="E104" s="46" t="s">
        <v>549</v>
      </c>
      <c r="F104" s="46" t="s">
        <v>550</v>
      </c>
      <c r="G104" s="46" t="s">
        <v>551</v>
      </c>
      <c r="H104" s="20" t="s">
        <v>357</v>
      </c>
      <c r="I104" s="5" t="s">
        <v>344</v>
      </c>
      <c r="J104" s="46" t="s">
        <v>527</v>
      </c>
      <c r="K104" s="46" t="s">
        <v>527</v>
      </c>
      <c r="L104" s="46" t="s">
        <v>548</v>
      </c>
    </row>
    <row r="105" spans="1:12" ht="36" customHeight="1">
      <c r="A105" s="33" t="s">
        <v>542</v>
      </c>
      <c r="B105" s="33" t="s">
        <v>260</v>
      </c>
      <c r="C105" s="33" t="s">
        <v>552</v>
      </c>
      <c r="D105" s="33" t="s">
        <v>544</v>
      </c>
      <c r="E105" s="33" t="s">
        <v>553</v>
      </c>
      <c r="F105" s="33" t="s">
        <v>546</v>
      </c>
      <c r="G105" s="33" t="s">
        <v>547</v>
      </c>
      <c r="H105" s="20" t="s">
        <v>357</v>
      </c>
      <c r="I105" s="5" t="s">
        <v>344</v>
      </c>
      <c r="J105" s="33" t="s">
        <v>527</v>
      </c>
      <c r="K105" s="33" t="s">
        <v>527</v>
      </c>
      <c r="L105" s="33" t="s">
        <v>548</v>
      </c>
    </row>
    <row r="106" spans="1:12" ht="24" customHeight="1">
      <c r="A106" s="46" t="s">
        <v>542</v>
      </c>
      <c r="B106" s="46" t="s">
        <v>262</v>
      </c>
      <c r="C106" s="46" t="s">
        <v>263</v>
      </c>
      <c r="D106" s="46" t="s">
        <v>544</v>
      </c>
      <c r="E106" s="46" t="s">
        <v>553</v>
      </c>
      <c r="F106" s="46" t="s">
        <v>525</v>
      </c>
      <c r="G106" s="46" t="s">
        <v>526</v>
      </c>
      <c r="H106" s="20" t="s">
        <v>357</v>
      </c>
      <c r="I106" s="5" t="s">
        <v>344</v>
      </c>
      <c r="J106" s="46" t="s">
        <v>527</v>
      </c>
      <c r="K106" s="46" t="s">
        <v>527</v>
      </c>
      <c r="L106" s="46" t="s">
        <v>548</v>
      </c>
    </row>
    <row r="107" spans="1:12" ht="24" customHeight="1">
      <c r="A107" s="33" t="s">
        <v>542</v>
      </c>
      <c r="B107" s="33" t="s">
        <v>264</v>
      </c>
      <c r="C107" s="33" t="s">
        <v>265</v>
      </c>
      <c r="D107" s="33" t="s">
        <v>544</v>
      </c>
      <c r="E107" s="33" t="s">
        <v>553</v>
      </c>
      <c r="F107" s="33" t="s">
        <v>546</v>
      </c>
      <c r="G107" s="33" t="s">
        <v>547</v>
      </c>
      <c r="H107" s="20" t="s">
        <v>357</v>
      </c>
      <c r="I107" s="5" t="s">
        <v>344</v>
      </c>
      <c r="J107" s="33" t="s">
        <v>527</v>
      </c>
      <c r="K107" s="33" t="s">
        <v>527</v>
      </c>
      <c r="L107" s="33" t="s">
        <v>548</v>
      </c>
    </row>
    <row r="108" spans="1:12" ht="24" customHeight="1">
      <c r="A108" s="46" t="s">
        <v>542</v>
      </c>
      <c r="B108" s="46" t="s">
        <v>266</v>
      </c>
      <c r="C108" s="46" t="s">
        <v>267</v>
      </c>
      <c r="D108" s="46" t="s">
        <v>544</v>
      </c>
      <c r="E108" s="46" t="s">
        <v>553</v>
      </c>
      <c r="F108" s="46" t="s">
        <v>550</v>
      </c>
      <c r="G108" s="46" t="s">
        <v>551</v>
      </c>
      <c r="H108" s="20" t="s">
        <v>357</v>
      </c>
      <c r="I108" s="5" t="s">
        <v>344</v>
      </c>
      <c r="J108" s="46" t="s">
        <v>527</v>
      </c>
      <c r="K108" s="46" t="s">
        <v>527</v>
      </c>
      <c r="L108" s="46" t="s">
        <v>548</v>
      </c>
    </row>
    <row r="109" spans="1:12" ht="24" customHeight="1">
      <c r="A109" s="33" t="s">
        <v>542</v>
      </c>
      <c r="B109" s="33" t="s">
        <v>268</v>
      </c>
      <c r="C109" s="33" t="s">
        <v>269</v>
      </c>
      <c r="D109" s="33" t="s">
        <v>544</v>
      </c>
      <c r="E109" s="33" t="s">
        <v>553</v>
      </c>
      <c r="F109" s="33" t="s">
        <v>554</v>
      </c>
      <c r="G109" s="33" t="s">
        <v>555</v>
      </c>
      <c r="H109" s="20" t="s">
        <v>357</v>
      </c>
      <c r="I109" s="4" t="s">
        <v>350</v>
      </c>
      <c r="J109" s="33" t="s">
        <v>556</v>
      </c>
      <c r="K109" s="33" t="s">
        <v>527</v>
      </c>
      <c r="L109" s="33" t="s">
        <v>548</v>
      </c>
    </row>
    <row r="110" spans="1:12" ht="24" customHeight="1">
      <c r="A110" s="46" t="s">
        <v>542</v>
      </c>
      <c r="B110" s="46" t="s">
        <v>288</v>
      </c>
      <c r="C110" s="46" t="s">
        <v>289</v>
      </c>
      <c r="D110" s="46" t="s">
        <v>544</v>
      </c>
      <c r="E110" s="46" t="s">
        <v>557</v>
      </c>
      <c r="F110" s="46" t="s">
        <v>550</v>
      </c>
      <c r="G110" s="46" t="s">
        <v>551</v>
      </c>
      <c r="H110" s="20" t="s">
        <v>357</v>
      </c>
      <c r="I110" s="5" t="s">
        <v>344</v>
      </c>
      <c r="J110" s="46" t="s">
        <v>527</v>
      </c>
      <c r="K110" s="46" t="s">
        <v>527</v>
      </c>
      <c r="L110" s="46" t="s">
        <v>548</v>
      </c>
    </row>
    <row r="111" spans="1:12" ht="24" customHeight="1">
      <c r="A111" s="33" t="s">
        <v>542</v>
      </c>
      <c r="B111" s="33" t="s">
        <v>290</v>
      </c>
      <c r="C111" s="33" t="s">
        <v>291</v>
      </c>
      <c r="D111" s="33" t="s">
        <v>544</v>
      </c>
      <c r="E111" s="33" t="s">
        <v>557</v>
      </c>
      <c r="F111" s="33" t="s">
        <v>550</v>
      </c>
      <c r="G111" s="33" t="s">
        <v>551</v>
      </c>
      <c r="H111" s="20" t="s">
        <v>357</v>
      </c>
      <c r="I111" s="5" t="s">
        <v>344</v>
      </c>
      <c r="J111" s="33" t="s">
        <v>527</v>
      </c>
      <c r="K111" s="33" t="s">
        <v>527</v>
      </c>
      <c r="L111" s="33" t="s">
        <v>548</v>
      </c>
    </row>
    <row r="112" spans="1:12" ht="27.95" customHeight="1">
      <c r="A112" s="43" t="s">
        <v>558</v>
      </c>
      <c r="B112" s="44"/>
      <c r="C112" s="44"/>
      <c r="D112" s="44"/>
      <c r="E112" s="44"/>
      <c r="F112" s="44"/>
      <c r="G112" s="44"/>
      <c r="H112" s="44"/>
      <c r="I112" s="44"/>
      <c r="J112" s="44"/>
      <c r="K112" s="44"/>
      <c r="L112" s="45"/>
    </row>
    <row r="113" spans="1:12" ht="36" customHeight="1">
      <c r="A113" s="33" t="s">
        <v>559</v>
      </c>
      <c r="B113" s="33" t="s">
        <v>310</v>
      </c>
      <c r="C113" s="33" t="s">
        <v>311</v>
      </c>
      <c r="D113" s="33" t="s">
        <v>560</v>
      </c>
      <c r="E113" s="33" t="s">
        <v>561</v>
      </c>
      <c r="F113" s="33" t="s">
        <v>554</v>
      </c>
      <c r="G113" s="33" t="s">
        <v>555</v>
      </c>
      <c r="H113" s="20" t="s">
        <v>357</v>
      </c>
      <c r="I113" s="5" t="s">
        <v>344</v>
      </c>
      <c r="J113" s="33" t="s">
        <v>556</v>
      </c>
      <c r="K113" s="33" t="s">
        <v>562</v>
      </c>
      <c r="L113" s="33" t="s">
        <v>563</v>
      </c>
    </row>
    <row r="114" spans="1:12" ht="24" customHeight="1">
      <c r="A114" s="46" t="s">
        <v>559</v>
      </c>
      <c r="B114" s="46" t="s">
        <v>312</v>
      </c>
      <c r="C114" s="46" t="s">
        <v>313</v>
      </c>
      <c r="D114" s="46" t="s">
        <v>560</v>
      </c>
      <c r="E114" s="46" t="s">
        <v>561</v>
      </c>
      <c r="F114" s="46" t="s">
        <v>550</v>
      </c>
      <c r="G114" s="46" t="s">
        <v>551</v>
      </c>
      <c r="H114" s="20" t="s">
        <v>357</v>
      </c>
      <c r="I114" s="4" t="s">
        <v>350</v>
      </c>
      <c r="J114" s="46" t="s">
        <v>527</v>
      </c>
      <c r="K114" s="46" t="s">
        <v>562</v>
      </c>
      <c r="L114" s="46" t="s">
        <v>563</v>
      </c>
    </row>
    <row r="115" spans="1:12" ht="36" customHeight="1">
      <c r="A115" s="33" t="s">
        <v>559</v>
      </c>
      <c r="B115" s="33" t="s">
        <v>296</v>
      </c>
      <c r="C115" s="33" t="s">
        <v>297</v>
      </c>
      <c r="D115" s="33" t="s">
        <v>560</v>
      </c>
      <c r="E115" s="33" t="s">
        <v>564</v>
      </c>
      <c r="F115" s="33" t="s">
        <v>565</v>
      </c>
      <c r="G115" s="33" t="s">
        <v>566</v>
      </c>
      <c r="H115" s="20" t="s">
        <v>357</v>
      </c>
      <c r="I115" s="5" t="s">
        <v>344</v>
      </c>
      <c r="J115" s="33" t="s">
        <v>495</v>
      </c>
      <c r="K115" s="33" t="s">
        <v>562</v>
      </c>
      <c r="L115" s="33" t="s">
        <v>563</v>
      </c>
    </row>
    <row r="116" spans="1:12" ht="24" customHeight="1">
      <c r="A116" s="46" t="s">
        <v>559</v>
      </c>
      <c r="B116" s="46" t="s">
        <v>298</v>
      </c>
      <c r="C116" s="46" t="s">
        <v>299</v>
      </c>
      <c r="D116" s="46" t="s">
        <v>560</v>
      </c>
      <c r="E116" s="46" t="s">
        <v>564</v>
      </c>
      <c r="F116" s="46" t="s">
        <v>565</v>
      </c>
      <c r="G116" s="46" t="s">
        <v>566</v>
      </c>
      <c r="H116" s="20" t="s">
        <v>357</v>
      </c>
      <c r="I116" s="5" t="s">
        <v>344</v>
      </c>
      <c r="J116" s="46" t="s">
        <v>495</v>
      </c>
      <c r="K116" s="46" t="s">
        <v>562</v>
      </c>
      <c r="L116" s="46" t="s">
        <v>563</v>
      </c>
    </row>
    <row r="117" spans="1:12" ht="24" customHeight="1">
      <c r="A117" s="33" t="s">
        <v>559</v>
      </c>
      <c r="B117" s="33" t="s">
        <v>300</v>
      </c>
      <c r="C117" s="33" t="s">
        <v>301</v>
      </c>
      <c r="D117" s="33" t="s">
        <v>560</v>
      </c>
      <c r="E117" s="33" t="s">
        <v>564</v>
      </c>
      <c r="F117" s="33" t="s">
        <v>493</v>
      </c>
      <c r="G117" s="33" t="s">
        <v>494</v>
      </c>
      <c r="H117" s="20" t="s">
        <v>357</v>
      </c>
      <c r="I117" s="5" t="s">
        <v>344</v>
      </c>
      <c r="J117" s="33" t="s">
        <v>495</v>
      </c>
      <c r="K117" s="33" t="s">
        <v>562</v>
      </c>
      <c r="L117" s="33" t="s">
        <v>563</v>
      </c>
    </row>
    <row r="118" spans="1:12" ht="36" customHeight="1">
      <c r="A118" s="46" t="s">
        <v>559</v>
      </c>
      <c r="B118" s="46" t="s">
        <v>302</v>
      </c>
      <c r="C118" s="46" t="s">
        <v>303</v>
      </c>
      <c r="D118" s="46" t="s">
        <v>560</v>
      </c>
      <c r="E118" s="46" t="s">
        <v>564</v>
      </c>
      <c r="F118" s="46" t="s">
        <v>493</v>
      </c>
      <c r="G118" s="46" t="s">
        <v>494</v>
      </c>
      <c r="H118" s="20" t="s">
        <v>357</v>
      </c>
      <c r="I118" s="4" t="s">
        <v>350</v>
      </c>
      <c r="J118" s="46" t="s">
        <v>495</v>
      </c>
      <c r="K118" s="46" t="s">
        <v>562</v>
      </c>
      <c r="L118" s="46" t="s">
        <v>563</v>
      </c>
    </row>
    <row r="119" spans="1:12" ht="36" customHeight="1">
      <c r="A119" s="33" t="s">
        <v>559</v>
      </c>
      <c r="B119" s="33" t="s">
        <v>304</v>
      </c>
      <c r="C119" s="33" t="s">
        <v>305</v>
      </c>
      <c r="D119" s="33" t="s">
        <v>560</v>
      </c>
      <c r="E119" s="33" t="s">
        <v>564</v>
      </c>
      <c r="F119" s="33" t="s">
        <v>565</v>
      </c>
      <c r="G119" s="33" t="s">
        <v>566</v>
      </c>
      <c r="H119" s="20" t="s">
        <v>357</v>
      </c>
      <c r="I119" s="5" t="s">
        <v>344</v>
      </c>
      <c r="J119" s="33" t="s">
        <v>495</v>
      </c>
      <c r="K119" s="33" t="s">
        <v>562</v>
      </c>
      <c r="L119" s="33" t="s">
        <v>563</v>
      </c>
    </row>
    <row r="120" spans="1:12" ht="36" customHeight="1">
      <c r="A120" s="46" t="s">
        <v>559</v>
      </c>
      <c r="B120" s="46" t="s">
        <v>306</v>
      </c>
      <c r="C120" s="46" t="s">
        <v>307</v>
      </c>
      <c r="D120" s="46" t="s">
        <v>560</v>
      </c>
      <c r="E120" s="46" t="s">
        <v>564</v>
      </c>
      <c r="F120" s="46" t="s">
        <v>565</v>
      </c>
      <c r="G120" s="46" t="s">
        <v>566</v>
      </c>
      <c r="H120" s="20" t="s">
        <v>357</v>
      </c>
      <c r="I120" s="4" t="s">
        <v>350</v>
      </c>
      <c r="J120" s="46" t="s">
        <v>495</v>
      </c>
      <c r="K120" s="46" t="s">
        <v>562</v>
      </c>
      <c r="L120" s="46" t="s">
        <v>563</v>
      </c>
    </row>
    <row r="121" spans="1:12" ht="27.95" customHeight="1">
      <c r="A121" s="43" t="s">
        <v>567</v>
      </c>
      <c r="B121" s="44"/>
      <c r="C121" s="44"/>
      <c r="D121" s="44"/>
      <c r="E121" s="44"/>
      <c r="F121" s="44"/>
      <c r="G121" s="44"/>
      <c r="H121" s="44"/>
      <c r="I121" s="44"/>
      <c r="J121" s="44"/>
      <c r="K121" s="44"/>
      <c r="L121" s="45"/>
    </row>
    <row r="122" spans="1:12" ht="24" customHeight="1">
      <c r="A122" s="33" t="s">
        <v>568</v>
      </c>
      <c r="B122" s="33" t="s">
        <v>161</v>
      </c>
      <c r="C122" s="33" t="s">
        <v>162</v>
      </c>
      <c r="D122" s="33" t="s">
        <v>397</v>
      </c>
      <c r="E122" s="33" t="s">
        <v>569</v>
      </c>
      <c r="F122" s="33" t="s">
        <v>570</v>
      </c>
      <c r="G122" s="33" t="s">
        <v>571</v>
      </c>
      <c r="H122" s="20" t="s">
        <v>357</v>
      </c>
      <c r="I122" s="4" t="s">
        <v>350</v>
      </c>
      <c r="J122" s="33" t="s">
        <v>389</v>
      </c>
      <c r="K122" s="33" t="s">
        <v>572</v>
      </c>
      <c r="L122" s="33" t="s">
        <v>573</v>
      </c>
    </row>
    <row r="123" spans="1:12" ht="36" customHeight="1">
      <c r="A123" s="46" t="s">
        <v>568</v>
      </c>
      <c r="B123" s="46" t="s">
        <v>163</v>
      </c>
      <c r="C123" s="46" t="s">
        <v>574</v>
      </c>
      <c r="D123" s="46" t="s">
        <v>397</v>
      </c>
      <c r="E123" s="46" t="s">
        <v>569</v>
      </c>
      <c r="F123" s="46" t="s">
        <v>565</v>
      </c>
      <c r="G123" s="46" t="s">
        <v>566</v>
      </c>
      <c r="H123" s="20" t="s">
        <v>357</v>
      </c>
      <c r="I123" s="5" t="s">
        <v>344</v>
      </c>
      <c r="J123" s="46" t="s">
        <v>495</v>
      </c>
      <c r="K123" s="46" t="s">
        <v>572</v>
      </c>
      <c r="L123" s="46" t="s">
        <v>573</v>
      </c>
    </row>
    <row r="124" spans="1:12" ht="24" customHeight="1">
      <c r="A124" s="33" t="s">
        <v>568</v>
      </c>
      <c r="B124" s="33" t="s">
        <v>165</v>
      </c>
      <c r="C124" s="33" t="s">
        <v>166</v>
      </c>
      <c r="D124" s="33" t="s">
        <v>397</v>
      </c>
      <c r="E124" s="33" t="s">
        <v>569</v>
      </c>
      <c r="F124" s="33" t="s">
        <v>575</v>
      </c>
      <c r="G124" s="33" t="s">
        <v>576</v>
      </c>
      <c r="H124" s="20" t="s">
        <v>357</v>
      </c>
      <c r="I124" s="4" t="s">
        <v>350</v>
      </c>
      <c r="J124" s="33" t="s">
        <v>522</v>
      </c>
      <c r="K124" s="33" t="s">
        <v>572</v>
      </c>
      <c r="L124" s="33" t="s">
        <v>573</v>
      </c>
    </row>
    <row r="125" spans="1:12" ht="36" customHeight="1">
      <c r="A125" s="46" t="s">
        <v>568</v>
      </c>
      <c r="B125" s="46" t="s">
        <v>167</v>
      </c>
      <c r="C125" s="46" t="s">
        <v>168</v>
      </c>
      <c r="D125" s="46" t="s">
        <v>397</v>
      </c>
      <c r="E125" s="46" t="s">
        <v>569</v>
      </c>
      <c r="F125" s="46" t="s">
        <v>577</v>
      </c>
      <c r="G125" s="46" t="s">
        <v>578</v>
      </c>
      <c r="H125" s="20" t="s">
        <v>357</v>
      </c>
      <c r="I125" s="4" t="s">
        <v>350</v>
      </c>
      <c r="J125" s="46" t="s">
        <v>556</v>
      </c>
      <c r="K125" s="46" t="s">
        <v>572</v>
      </c>
      <c r="L125" s="46" t="s">
        <v>573</v>
      </c>
    </row>
  </sheetData>
  <autoFilter ref="A2:L125" xr:uid="{00000000-0009-0000-0000-000002000000}"/>
  <mergeCells count="16">
    <mergeCell ref="A121:L121"/>
    <mergeCell ref="A1:L1"/>
    <mergeCell ref="A28:L28"/>
    <mergeCell ref="A84:L84"/>
    <mergeCell ref="A37:L37"/>
    <mergeCell ref="A14:L14"/>
    <mergeCell ref="A58:L58"/>
    <mergeCell ref="A70:L70"/>
    <mergeCell ref="A3:L3"/>
    <mergeCell ref="A50:L50"/>
    <mergeCell ref="A65:L65"/>
    <mergeCell ref="A20:L20"/>
    <mergeCell ref="A81:L81"/>
    <mergeCell ref="A10:L10"/>
    <mergeCell ref="A98:L98"/>
    <mergeCell ref="A112:L1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Eugene Powell</cp:lastModifiedBy>
  <cp:revision>0</cp:revision>
  <dcterms:created xsi:type="dcterms:W3CDTF">2026-03-13T23:21:23Z</dcterms:created>
  <dcterms:modified xsi:type="dcterms:W3CDTF">2026-03-17T16:50:11Z</dcterms:modified>
  <cp:category/>
  <cp:contentStatus/>
</cp:coreProperties>
</file>